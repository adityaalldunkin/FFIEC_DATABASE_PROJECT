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out" sheetId="1" state="visible" r:id="rId3"/>
    <sheet name="Build Math" sheetId="2" state="visible" r:id="rId4"/>
    <sheet name="Template Library" sheetId="3" state="visible" r:id="rId5"/>
    <sheet name="Loan Products" sheetId="4" state="visible" r:id="rId6"/>
    <sheet name="FDIC Fields" sheetId="5" state="visible" r:id="rId7"/>
    <sheet name="Pitfalls" sheetId="6" state="visible" r:id="rId8"/>
  </sheets>
  <definedNames>
    <definedName function="false" hidden="true" localSheetId="3" name="_xlnm._FilterDatabase" vbProcedure="false">'Loan Products'!$A$1:$G$217</definedName>
    <definedName function="false" hidden="true" localSheetId="2" name="_xlnm._FilterDatabase" vbProcedure="false">'Template Library'!$A$9:$F$48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<sst xmlns="http://schemas.openxmlformats.org/spreadsheetml/2006/main" count="1381" uniqueCount="590">
  <si>
    <t xml:space="preserve">Lenni — All Loan Types Reference (UBPR-aligned)</t>
  </si>
  <si>
    <t xml:space="preserve">Generated 2026-05-18</t>
  </si>
  <si>
    <t xml:space="preserve">What this is</t>
  </si>
  <si>
    <t xml:space="preserve">Comprehensive list of every major loan product type a community bank originates, organized into the nine UBPR (Uniform Bank Performance Report) loan categories that map to FDIC Call Report Schedule RC-C. Use this as the master taxonomy when building Lenni's bank profile schema, the underwriting MD template library, or the product-fit matching engine.</t>
  </si>
  <si>
    <t xml:space="preserve">Sheets</t>
  </si>
  <si>
    <t xml:space="preserve">Loan Products — full list, filterable by category / sub-category / FDIC field</t>
  </si>
  <si>
    <t xml:space="preserve">FDIC Fields — field-code dictionary (LNRE, LNCI, etc.) for the BankFind API</t>
  </si>
  <si>
    <t xml:space="preserve">Pitfalls — cross-cutting classification gotchas to watch for when mapping products to buckets</t>
  </si>
  <si>
    <t xml:space="preserve">How to use</t>
  </si>
  <si>
    <t xml:space="preserve">Filter the Loan Products sheet by UBPR Category to see every product in that bucket. Filter by Primary FDIC Field to see everything that rolls into a given Call Report line. Filter by Owner-Occupied? to isolate the CRE split that BankFind doesn't expose. Use the Pitfalls sheet whenever a product feels like it could live in two places — the rules there are how FDIC actually treats them.</t>
  </si>
  <si>
    <t xml:space="preserve">Companion files</t>
  </si>
  <si>
    <t xml:space="preserve">Data Pipelines / FDIC + FFIEC / fdic_field_reference.md — same FDIC fields with Lenni product mapping</t>
  </si>
  <si>
    <t xml:space="preserve">Underwriting MD Files / CRE / Multifamily Bridge / ... — sample borrower intake template using this taxonomy</t>
  </si>
  <si>
    <t xml:space="preserve">How many MD underwriting templates does Lenni actually need to build?</t>
  </si>
  <si>
    <t xml:space="preserve">The 216 products listed in the Loan Products tab compress dramatically when grouped by distinct underwriting box.</t>
  </si>
  <si>
    <t xml:space="preserve">Headline numbers</t>
  </si>
  <si>
    <t xml:space="preserve">Scope</t>
  </si>
  <si>
    <t xml:space="preserve">Templates needed</t>
  </si>
  <si>
    <t xml:space="preserve">Notes</t>
  </si>
  <si>
    <t xml:space="preserve">Per-bank, typical $500M–$2B community bank</t>
  </si>
  <si>
    <t xml:space="preserve">18–22 templates</t>
  </si>
  <si>
    <t xml:space="preserve">Broad coverage across residential, CRE, C&amp;I, consumer.</t>
  </si>
  <si>
    <t xml:space="preserve">Per-bank, focused (CRE + C&amp;I only, no residential/ag)</t>
  </si>
  <si>
    <t xml:space="preserve">7–10 templates</t>
  </si>
  <si>
    <t xml:space="preserve">Narrow specialty banks.</t>
  </si>
  <si>
    <t xml:space="preserve">Per-bank, full-coverage / multi-specialty</t>
  </si>
  <si>
    <t xml:space="preserve">~30 templates</t>
  </si>
  <si>
    <t xml:space="preserve">Top of the realistic range.</t>
  </si>
  <si>
    <t xml:space="preserve">Lenni standard library (covers entire Texas community bank market)</t>
  </si>
  <si>
    <t xml:space="preserve">35–40 templates</t>
  </si>
  <si>
    <t xml:space="preserve">Built once, customized per bank with their box.</t>
  </si>
  <si>
    <t xml:space="preserve">Compression by UBPR category</t>
  </si>
  <si>
    <t xml:space="preserve">UBPR Category</t>
  </si>
  <si>
    <t xml:space="preserve">Products in spreadsheet</t>
  </si>
  <si>
    <t xml:space="preserve">Templates needed (low)</t>
  </si>
  <si>
    <t xml:space="preserve">Templates needed (high)</t>
  </si>
  <si>
    <t xml:space="preserve">Examples</t>
  </si>
  <si>
    <t xml:space="preserve">1a. Construction &amp; land development</t>
  </si>
  <si>
    <t xml:space="preserve">residential, commercial, multifamily, land/A&amp;D, +/- CTP</t>
  </si>
  <si>
    <t xml:space="preserve">1b. Farmland</t>
  </si>
  <si>
    <t xml:space="preserve">farmland real estate (general)</t>
  </si>
  <si>
    <t xml:space="preserve">1c. 1-4 family residential</t>
  </si>
  <si>
    <t xml:space="preserve">conventional/portfolio, HELOC, home equity 2nd, DSCR investor, +/- non-QM</t>
  </si>
  <si>
    <t xml:space="preserve">1d. Multifamily (5+)</t>
  </si>
  <si>
    <t xml:space="preserve">perm, bridge, +/- affordable/LIHTC, senior housing, MHC</t>
  </si>
  <si>
    <t xml:space="preserve">1e. CRE non-MF (nonfarm nonresidential)</t>
  </si>
  <si>
    <t xml:space="preserve">owner-occ, SBA 504, investor perm, investor bridge, hospitality, net lease, special purpose</t>
  </si>
  <si>
    <t xml:space="preserve">2. Commercial &amp; industrial (C&amp;I)</t>
  </si>
  <si>
    <t xml:space="preserve">general C&amp;I, SBA, ABL, LCs, +/- RBL/franchise/professional practice</t>
  </si>
  <si>
    <t xml:space="preserve">3. Loans to individuals (consumer)</t>
  </si>
  <si>
    <t xml:space="preserve">auto, credit card, unsecured personal, secured consumer</t>
  </si>
  <si>
    <t xml:space="preserve">4. Agricultural production / farmers</t>
  </si>
  <si>
    <t xml:space="preserve">operating, livestock specialty, FSA</t>
  </si>
  <si>
    <t xml:space="preserve">5. Loans to depository institutions</t>
  </si>
  <si>
    <t xml:space="preserve">rare for community banks</t>
  </si>
  <si>
    <t xml:space="preserve">6. Loans to states / political subdivisions</t>
  </si>
  <si>
    <t xml:space="preserve">municipal direct, lease-purchase</t>
  </si>
  <si>
    <t xml:space="preserve">7. Loans to foreign governments</t>
  </si>
  <si>
    <t xml:space="preserve">essentially zero for community banks</t>
  </si>
  <si>
    <t xml:space="preserve">8. Other loans</t>
  </si>
  <si>
    <t xml:space="preserve">specialty / exception-handled</t>
  </si>
  <si>
    <t xml:space="preserve">9. Lease financing receivables</t>
  </si>
  <si>
    <t xml:space="preserve">often folded into C&amp;I underwriting</t>
  </si>
  <si>
    <t xml:space="preserve">Totals</t>
  </si>
  <si>
    <t xml:space="preserve">216 products → ~28–40 distinct templates</t>
  </si>
  <si>
    <t xml:space="preserve">Takeaway</t>
  </si>
  <si>
    <t xml:space="preserve">Lenni doesn't build per-bank. Lenni builds a standard library of ~35–40 templates once. Each bank picks the subset they actually offer and customizes their box (loan amount min/max, LTV cap, eligible geographies, sponsor requirements, fees). See the Template Library tab for the full list grouped by build priority.</t>
  </si>
  <si>
    <t xml:space="preserve">Lenni Underwriting Template Library — Build Sequence</t>
  </si>
  <si>
    <t xml:space="preserve">39 distinct underwriting templates, sequenced by priority. Tier 1 covers ~80% of community bank loan dollars.</t>
  </si>
  <si>
    <t xml:space="preserve">Tier</t>
  </si>
  <si>
    <t xml:space="preserve">Count</t>
  </si>
  <si>
    <t xml:space="preserve">Purpose</t>
  </si>
  <si>
    <t xml:space="preserve">Target</t>
  </si>
  <si>
    <t xml:space="preserve">Tier 1</t>
  </si>
  <si>
    <t xml:space="preserve">10 templates</t>
  </si>
  <si>
    <t xml:space="preserve">Must-build — covers bulk of community bank loan dollars</t>
  </si>
  <si>
    <t xml:space="preserve">Target: end of June 2026</t>
  </si>
  <si>
    <t xml:space="preserve">Tier 2</t>
  </si>
  <si>
    <t xml:space="preserve">14 templates</t>
  </si>
  <si>
    <t xml:space="preserve">Full coverage — adds full residential, ag, hospitality, consumer</t>
  </si>
  <si>
    <t xml:space="preserve">Target: end of August 2026</t>
  </si>
  <si>
    <t xml:space="preserve">Tier 3</t>
  </si>
  <si>
    <t xml:space="preserve">15 templates</t>
  </si>
  <si>
    <t xml:space="preserve">Specialty / lower-volume — built as needed for specific pilot banks</t>
  </si>
  <si>
    <t xml:space="preserve">On-demand</t>
  </si>
  <si>
    <t xml:space="preserve">Template ID</t>
  </si>
  <si>
    <t xml:space="preserve">Template Name</t>
  </si>
  <si>
    <t xml:space="preserve">What it covers</t>
  </si>
  <si>
    <t xml:space="preserve">Rationale</t>
  </si>
  <si>
    <t xml:space="preserve">uw-multifamily-bridge-v1</t>
  </si>
  <si>
    <t xml:space="preserve">Multifamily Bridge / Value-Add</t>
  </si>
  <si>
    <t xml:space="preserve">1d. Multifamily</t>
  </si>
  <si>
    <t xml:space="preserve">5+ unit multifamily bridge, value-add, repositioning; agency-takeout exit</t>
  </si>
  <si>
    <t xml:space="preserve">Highest-volume Lenni product; demo example is built around this</t>
  </si>
  <si>
    <t xml:space="preserve">uw-multifamily-perm-v1</t>
  </si>
  <si>
    <t xml:space="preserve">Multifamily Permanent</t>
  </si>
  <si>
    <t xml:space="preserve">5+ unit stabilized multifamily perm; held in portfolio or originate-to-sell</t>
  </si>
  <si>
    <t xml:space="preserve">Bank multifamily books are mostly perm; pairs with bridge as the multifamily duo</t>
  </si>
  <si>
    <t xml:space="preserve">uw-cre-investor-perm-v1</t>
  </si>
  <si>
    <t xml:space="preserve">Investor CRE Permanent</t>
  </si>
  <si>
    <t xml:space="preserve">1e. CRE non-MF</t>
  </si>
  <si>
    <t xml:space="preserve">Stabilized office, retail, industrial, MOB, mixed-use — investor-owned</t>
  </si>
  <si>
    <t xml:space="preserve">Largest CRE bucket for most community banks</t>
  </si>
  <si>
    <t xml:space="preserve">uw-cre-investor-bridge-v1</t>
  </si>
  <si>
    <t xml:space="preserve">Investor CRE Bridge / Value-Add</t>
  </si>
  <si>
    <t xml:space="preserve">Value-add CRE acquisition + capex + lease-up; mini-perm</t>
  </si>
  <si>
    <t xml:space="preserve">Growing community bank product; differentiates from larger banks</t>
  </si>
  <si>
    <t xml:space="preserve">uw-cre-owner-occupied-v1</t>
  </si>
  <si>
    <t xml:space="preserve">Owner-Occupied CRE</t>
  </si>
  <si>
    <t xml:space="preserve">Business owns and operates from property; underwrites business cash flow + property</t>
  </si>
  <si>
    <t xml:space="preserve">Core community bank product; SBA 504 sits on top</t>
  </si>
  <si>
    <t xml:space="preserve">uw-sba-v1</t>
  </si>
  <si>
    <t xml:space="preserve">SBA 7(a) and 504</t>
  </si>
  <si>
    <t xml:space="preserve">2. C&amp;I + 1e. CRE</t>
  </si>
  <si>
    <t xml:space="preserve">All SBA-guaranteed products; sits across C&amp;I and CRE buckets by collateral</t>
  </si>
  <si>
    <t xml:space="preserve">Required for any community bank doing small business lending</t>
  </si>
  <si>
    <t xml:space="preserve">uw-ci-general-v1</t>
  </si>
  <si>
    <t xml:space="preserve">General C&amp;I (term + revolver)</t>
  </si>
  <si>
    <t xml:space="preserve">2. C&amp;I</t>
  </si>
  <si>
    <t xml:space="preserve">Operating lines, term loans, equipment, working capital, business acquisition</t>
  </si>
  <si>
    <t xml:space="preserve">Single template covers majority of C&amp;I activity</t>
  </si>
  <si>
    <t xml:space="preserve">uw-construction-commercial-v1</t>
  </si>
  <si>
    <t xml:space="preserve">Commercial Construction</t>
  </si>
  <si>
    <t xml:space="preserve">1a. Construction</t>
  </si>
  <si>
    <t xml:space="preserve">Office, retail, industrial, mixed-use, hospitality, medical, MOB, senior, self-storage</t>
  </si>
  <si>
    <t xml:space="preserve">One template with property-type addenda</t>
  </si>
  <si>
    <t xml:space="preserve">uw-construction-residential-v1</t>
  </si>
  <si>
    <t xml:space="preserve">Residential Construction (1-4 family)</t>
  </si>
  <si>
    <t xml:space="preserve">Spec, pre-sold, custom, renovation, lot loans</t>
  </si>
  <si>
    <t xml:space="preserve">Distinct from commercial; sponsor experience and pre-sale status are key</t>
  </si>
  <si>
    <t xml:space="preserve">uw-residential-conventional-v1</t>
  </si>
  <si>
    <t xml:space="preserve">Conventional Residential / Portfolio Mortgage</t>
  </si>
  <si>
    <t xml:space="preserve">1c. 1-4 family</t>
  </si>
  <si>
    <t xml:space="preserve">Conforming, jumbo, portfolio first liens; agency-eligible originations + bank overlays</t>
  </si>
  <si>
    <t xml:space="preserve">Baseline for any bank doing residential</t>
  </si>
  <si>
    <t xml:space="preserve">uw-residential-heloc-v1</t>
  </si>
  <si>
    <t xml:space="preserve">HELOC</t>
  </si>
  <si>
    <t xml:space="preserve">Open-end revolving home equity; standard + piggyback</t>
  </si>
  <si>
    <t xml:space="preserve">Standalone underwriting box; different from closed-end</t>
  </si>
  <si>
    <t xml:space="preserve">uw-residential-home-equity-v1</t>
  </si>
  <si>
    <t xml:space="preserve">Home Equity Closed-End 2nd</t>
  </si>
  <si>
    <t xml:space="preserve">Closed-end junior liens / piggyback seconds</t>
  </si>
  <si>
    <t xml:space="preserve">Different LTV stack and risk profile than first liens</t>
  </si>
  <si>
    <t xml:space="preserve">uw-residential-dscr-v1</t>
  </si>
  <si>
    <t xml:space="preserve">DSCR Investor 1-4 Family</t>
  </si>
  <si>
    <t xml:space="preserve">Non-owner-occupied 1-4 family rental properties qualified on property cash flow</t>
  </si>
  <si>
    <t xml:space="preserve">Stays in residential bucket but underwrites like CRE</t>
  </si>
  <si>
    <t xml:space="preserve">uw-construction-multifamily-v1</t>
  </si>
  <si>
    <t xml:space="preserve">Multifamily Construction</t>
  </si>
  <si>
    <t xml:space="preserve">Ground-up 5+ unit multifamily; agency-takeout planning critical</t>
  </si>
  <si>
    <t xml:space="preserve">Distinct from commercial construction due to perm structure</t>
  </si>
  <si>
    <t xml:space="preserve">uw-land-ad-v1</t>
  </si>
  <si>
    <t xml:space="preserve">Land / A&amp;D / Lot Loans</t>
  </si>
  <si>
    <t xml:space="preserve">Raw land, improved land, acquisition &amp; development, lot loans, land bank</t>
  </si>
  <si>
    <t xml:space="preserve">Conservative LTV; much different from vertical construction</t>
  </si>
  <si>
    <t xml:space="preserve">uw-cre-hospitality-v1</t>
  </si>
  <si>
    <t xml:space="preserve">Hospitality CRE</t>
  </si>
  <si>
    <t xml:space="preserve">Hotels (flagged, boutique, full-service, limited-service, extended stay), resorts</t>
  </si>
  <si>
    <t xml:space="preserve">Operating business risk; RevPAR + flag/franchise specifics</t>
  </si>
  <si>
    <t xml:space="preserve">uw-cre-net-lease-v1</t>
  </si>
  <si>
    <t xml:space="preserve">Net Lease / Single-Tenant Credit</t>
  </si>
  <si>
    <t xml:space="preserve">STNL, ground leases, outparcels; credit-tenant analysis dominates</t>
  </si>
  <si>
    <t xml:space="preserve">Underwrites tenant credit, not property; distinct doc package</t>
  </si>
  <si>
    <t xml:space="preserve">uw-farmland-v1</t>
  </si>
  <si>
    <t xml:space="preserve">Farmland (Real Estate)</t>
  </si>
  <si>
    <t xml:space="preserve">Farm/ranch RE mortgages, ag land acquisition, timberland, vineyard/orchard</t>
  </si>
  <si>
    <t xml:space="preserve">Operating-loan/farmland split is important; this is the RE half</t>
  </si>
  <si>
    <t xml:space="preserve">uw-ag-operating-v1</t>
  </si>
  <si>
    <t xml:space="preserve">Ag Operating</t>
  </si>
  <si>
    <t xml:space="preserve">4. Agricultural</t>
  </si>
  <si>
    <t xml:space="preserve">Crop operating, livestock operating, dairy, general farm production</t>
  </si>
  <si>
    <t xml:space="preserve">Master ag template; specialty ops get addenda</t>
  </si>
  <si>
    <t xml:space="preserve">uw-consumer-auto-v1</t>
  </si>
  <si>
    <t xml:space="preserve">Consumer Auto</t>
  </si>
  <si>
    <t xml:space="preserve">3. Consumer</t>
  </si>
  <si>
    <t xml:space="preserve">Direct + indirect auto; new, used, refinance, lease</t>
  </si>
  <si>
    <t xml:space="preserve">One template with channel flags</t>
  </si>
  <si>
    <t xml:space="preserve">uw-consumer-personal-v1</t>
  </si>
  <si>
    <t xml:space="preserve">Personal Unsecured / Signature</t>
  </si>
  <si>
    <t xml:space="preserve">Unsecured installment, single-payment, personal lines of credit</t>
  </si>
  <si>
    <t xml:space="preserve">Distinct from secured consumer; FICO-driven box</t>
  </si>
  <si>
    <t xml:space="preserve">uw-consumer-secured-v1</t>
  </si>
  <si>
    <t xml:space="preserve">Secured Consumer (Boat/RV/Motorcycle)</t>
  </si>
  <si>
    <t xml:space="preserve">Recreational vehicle and aircraft financing; collateralized personal loans</t>
  </si>
  <si>
    <t xml:space="preserve">Collateral-specific docs and LTV tables</t>
  </si>
  <si>
    <t xml:space="preserve">uw-ci-letters-of-credit-v1</t>
  </si>
  <si>
    <t xml:space="preserve">Standby Letters of Credit</t>
  </si>
  <si>
    <t xml:space="preserve">Standby and commercial LCs; trade finance</t>
  </si>
  <si>
    <t xml:space="preserve">Different mechanics than term/revolver; standalone template</t>
  </si>
  <si>
    <t xml:space="preserve">uw-municipal-direct-v1</t>
  </si>
  <si>
    <t xml:space="preserve">Municipal Direct Loan</t>
  </si>
  <si>
    <t xml:space="preserve">6. Municipal</t>
  </si>
  <si>
    <t xml:space="preserve">GO direct, revenue direct, TANs/BANs/RANs to school districts, water/sewer, etc.</t>
  </si>
  <si>
    <t xml:space="preserve">Tax-exempt structure; very different from commercial</t>
  </si>
  <si>
    <t xml:space="preserve">uw-multifamily-affordable-v1</t>
  </si>
  <si>
    <t xml:space="preserve">Affordable / LIHTC Multifamily</t>
  </si>
  <si>
    <t xml:space="preserve">4% and 9% LIHTC permanent financing</t>
  </si>
  <si>
    <t xml:space="preserve">Highly specialized; only banks active in LIHTC need this</t>
  </si>
  <si>
    <t xml:space="preserve">uw-multifamily-senior-v1</t>
  </si>
  <si>
    <t xml:space="preserve">Senior Housing / Assisted Living</t>
  </si>
  <si>
    <t xml:space="preserve">Independent living, assisted living, memory care, CCRCs</t>
  </si>
  <si>
    <t xml:space="preserve">Operating business risk; not pure real estate</t>
  </si>
  <si>
    <t xml:space="preserve">uw-multifamily-mhc-v1</t>
  </si>
  <si>
    <t xml:space="preserve">Manufactured Housing Communities</t>
  </si>
  <si>
    <t xml:space="preserve">Investor-owned MHC parks; pad-rent underwriting</t>
  </si>
  <si>
    <t xml:space="preserve">Distinct collateral and cash-flow profile</t>
  </si>
  <si>
    <t xml:space="preserve">uw-ci-abl-v1</t>
  </si>
  <si>
    <t xml:space="preserve">ABL Revolvers</t>
  </si>
  <si>
    <t xml:space="preserve">Borrowing-base revolvers secured by AR + inventory; field exams</t>
  </si>
  <si>
    <t xml:space="preserve">Specialty discipline; few community banks have ABL teams</t>
  </si>
  <si>
    <t xml:space="preserve">uw-ci-energy-rbl-v1</t>
  </si>
  <si>
    <t xml:space="preserve">Energy / Oil &amp; Gas RBL</t>
  </si>
  <si>
    <t xml:space="preserve">Reserve-based lending against proved producing reserves</t>
  </si>
  <si>
    <t xml:space="preserve">Texas-specific opportunity; only relevant for energy-active banks</t>
  </si>
  <si>
    <t xml:space="preserve">uw-ci-franchise-v1</t>
  </si>
  <si>
    <t xml:space="preserve">Franchise C&amp;I</t>
  </si>
  <si>
    <t xml:space="preserve">Franchisee acquisition + working capital; franchisor-approved concepts</t>
  </si>
  <si>
    <t xml:space="preserve">Franchise-specific overlays on general C&amp;I</t>
  </si>
  <si>
    <t xml:space="preserve">uw-ci-professional-practice-v1</t>
  </si>
  <si>
    <t xml:space="preserve">Professional Practice</t>
  </si>
  <si>
    <t xml:space="preserve">Medical, dental, legal, accounting, veterinary practice acquisition + WC</t>
  </si>
  <si>
    <t xml:space="preserve">Goodwill financing; partnership-buyout structures</t>
  </si>
  <si>
    <t xml:space="preserve">uw-ag-livestock-v1</t>
  </si>
  <si>
    <t xml:space="preserve">Livestock Specialty (Dairy, Poultry, Hog)</t>
  </si>
  <si>
    <t xml:space="preserve">Concentrated-livestock operations with distinct cash-flow cycles</t>
  </si>
  <si>
    <t xml:space="preserve">Specialty addendum or standalone for ag-focused banks</t>
  </si>
  <si>
    <t xml:space="preserve">uw-ag-fsa-v1</t>
  </si>
  <si>
    <t xml:space="preserve">USDA FSA Guaranteed</t>
  </si>
  <si>
    <t xml:space="preserve">FSA-guaranteed operating and ownership loans</t>
  </si>
  <si>
    <t xml:space="preserve">Government-program rules; separate from conventional ag</t>
  </si>
  <si>
    <t xml:space="preserve">uw-municipal-lease-v1</t>
  </si>
  <si>
    <t xml:space="preserve">Municipal Lease-Purchase</t>
  </si>
  <si>
    <t xml:space="preserve">Capital lease financing for muni equipment and facilities</t>
  </si>
  <si>
    <t xml:space="preserve">Tax-exempt lease structure</t>
  </si>
  <si>
    <t xml:space="preserve">uw-cre-special-purpose-v1</t>
  </si>
  <si>
    <t xml:space="preserve">Special-Purpose CRE</t>
  </si>
  <si>
    <t xml:space="preserve">Parking, golf, marina, theaters, fitness, religious, schools, data centers</t>
  </si>
  <si>
    <t xml:space="preserve">Case-by-case; mostly exception underwriting</t>
  </si>
  <si>
    <t xml:space="preserve">uw-residential-non-qm-v1</t>
  </si>
  <si>
    <t xml:space="preserve">Non-QM Residential</t>
  </si>
  <si>
    <t xml:space="preserve">Bank-statement, asset-depletion, alt-doc portfolio originations</t>
  </si>
  <si>
    <t xml:space="preserve">Specialty residential program; bank-overlay-heavy</t>
  </si>
  <si>
    <t xml:space="preserve">uw-consumer-credit-card-v1</t>
  </si>
  <si>
    <t xml:space="preserve">Credit Card</t>
  </si>
  <si>
    <t xml:space="preserve">Direct-issued consumer credit cards</t>
  </si>
  <si>
    <t xml:space="preserve">Most community banks outsource to agent banks; only build if originating</t>
  </si>
  <si>
    <t xml:space="preserve">uw-leases-equipment-v1</t>
  </si>
  <si>
    <t xml:space="preserve">Equipment Leases</t>
  </si>
  <si>
    <t xml:space="preserve">9. Leases</t>
  </si>
  <si>
    <t xml:space="preserve">Equipment leases booked as lease financing receivables</t>
  </si>
  <si>
    <t xml:space="preserve">Many banks fold this into C&amp;I; build only if leases are a distinct line</t>
  </si>
  <si>
    <t xml:space="preserve">uw-bank-to-bank-v1</t>
  </si>
  <si>
    <t xml:space="preserve">Loans to Depository Institutions</t>
  </si>
  <si>
    <t xml:space="preserve">5. Depository</t>
  </si>
  <si>
    <t xml:space="preserve">Term loans and acceptances to other banks</t>
  </si>
  <si>
    <t xml:space="preserve">Rare for community banks; build only if active</t>
  </si>
  <si>
    <t xml:space="preserve">Total templates:</t>
  </si>
  <si>
    <t xml:space="preserve">Tier 1 count:</t>
  </si>
  <si>
    <t xml:space="preserve">Sub-Category</t>
  </si>
  <si>
    <t xml:space="preserve">Sub-Sub-Category</t>
  </si>
  <si>
    <t xml:space="preserve">Loan Product</t>
  </si>
  <si>
    <t xml:space="preserve">Primary FDIC Field</t>
  </si>
  <si>
    <t xml:space="preserve">Owner-Occupied?</t>
  </si>
  <si>
    <t xml:space="preserve">1. Loans secured by real estate</t>
  </si>
  <si>
    <t xml:space="preserve">1-4 family residential construction</t>
  </si>
  <si>
    <t xml:space="preserve">Spec construction (builder builds, no buyer yet)</t>
  </si>
  <si>
    <t xml:space="preserve">LNRECONS</t>
  </si>
  <si>
    <t xml:space="preserve">Pre-sold residential construction</t>
  </si>
  <si>
    <t xml:space="preserve">Custom home construction (one-off)</t>
  </si>
  <si>
    <t xml:space="preserve">Renovation / rehab construction loan</t>
  </si>
  <si>
    <t xml:space="preserve">One-time-close construction-to-perm (residential)</t>
  </si>
  <si>
    <t xml:space="preserve">Moves to LNRERSDL after conversion</t>
  </si>
  <si>
    <t xml:space="preserve">Lot loans (residential)</t>
  </si>
  <si>
    <t xml:space="preserve">Other construction &amp; land development</t>
  </si>
  <si>
    <t xml:space="preserve">Commercial construction — office</t>
  </si>
  <si>
    <t xml:space="preserve">Commercial construction — retail</t>
  </si>
  <si>
    <t xml:space="preserve">Commercial construction — industrial / warehouse</t>
  </si>
  <si>
    <t xml:space="preserve">Commercial construction — mixed-use</t>
  </si>
  <si>
    <t xml:space="preserve">Multifamily construction (5+ units)</t>
  </si>
  <si>
    <t xml:space="preserve">Moves to LNREMULT after conversion to perm</t>
  </si>
  <si>
    <t xml:space="preserve">Hospitality construction (hotels, resorts)</t>
  </si>
  <si>
    <t xml:space="preserve">Medical office / surgery center construction</t>
  </si>
  <si>
    <t xml:space="preserve">Industrial / warehouse / distribution / flex construction</t>
  </si>
  <si>
    <t xml:space="preserve">Senior housing / assisted living construction</t>
  </si>
  <si>
    <t xml:space="preserve">Self-storage construction</t>
  </si>
  <si>
    <t xml:space="preserve">Acquisition &amp; development (A&amp;D)</t>
  </si>
  <si>
    <t xml:space="preserve">Buy land + horizontal improvements</t>
  </si>
  <si>
    <t xml:space="preserve">Raw land loans</t>
  </si>
  <si>
    <t xml:space="preserve">Improved / developed land loans</t>
  </si>
  <si>
    <t xml:space="preserve">Entitled and finished lots</t>
  </si>
  <si>
    <t xml:space="preserve">Land bank loans (long-hold)</t>
  </si>
  <si>
    <t xml:space="preserve">Construction-to-perm (commercial)</t>
  </si>
  <si>
    <t xml:space="preserve">Moves to LNRENRES after conversion</t>
  </si>
  <si>
    <t xml:space="preserve">Mini-perm bridge during lease-up</t>
  </si>
  <si>
    <t xml:space="preserve">1b. Loans secured by farmland</t>
  </si>
  <si>
    <t xml:space="preserve">Farm and ranch real estate mortgage</t>
  </si>
  <si>
    <t xml:space="preserve">LNREAG</t>
  </si>
  <si>
    <t xml:space="preserve">Agricultural land acquisition</t>
  </si>
  <si>
    <t xml:space="preserve">Timberland loans</t>
  </si>
  <si>
    <t xml:space="preserve">Vineyard / orchard / row-crop land</t>
  </si>
  <si>
    <t xml:space="preserve">Conservation easement-encumbered farmland</t>
  </si>
  <si>
    <t xml:space="preserve">Recreational land (when farmland-classified)</t>
  </si>
  <si>
    <t xml:space="preserve">Farmer Mac-eligible farmland loans</t>
  </si>
  <si>
    <t xml:space="preserve">Revolving open-end (HELOC)</t>
  </si>
  <si>
    <t xml:space="preserve">Standard HELOCs</t>
  </si>
  <si>
    <t xml:space="preserve">LNRERSDL</t>
  </si>
  <si>
    <t xml:space="preserve">UBPR breaks HELOCs out; BankFind aggregates</t>
  </si>
  <si>
    <t xml:space="preserve">Piggyback HELOCs</t>
  </si>
  <si>
    <t xml:space="preserve">Investor HELOCs (where allowed)</t>
  </si>
  <si>
    <t xml:space="preserve">Closed-end first liens</t>
  </si>
  <si>
    <t xml:space="preserve">Conventional conforming (Fannie / Freddie eligible)</t>
  </si>
  <si>
    <t xml:space="preserve">Conventional non-conforming / jumbo</t>
  </si>
  <si>
    <t xml:space="preserve">Portfolio mortgages (non-saleable, held)</t>
  </si>
  <si>
    <t xml:space="preserve">FHA loans</t>
  </si>
  <si>
    <t xml:space="preserve">VA loans</t>
  </si>
  <si>
    <t xml:space="preserve">USDA rural housing</t>
  </si>
  <si>
    <t xml:space="preserve">Non-QM (bank-statement, asset-depletion, alt-doc)</t>
  </si>
  <si>
    <t xml:space="preserve">DSCR loans (investor 1-4 family)</t>
  </si>
  <si>
    <t xml:space="preserve">No</t>
  </si>
  <si>
    <t xml:space="preserve">Non-owner-occupied 1-4 unit stays in RESDL, not CRE</t>
  </si>
  <si>
    <t xml:space="preserve">Bridge / interim residential</t>
  </si>
  <si>
    <t xml:space="preserve">Reverse mortgages (HECM)</t>
  </si>
  <si>
    <t xml:space="preserve">Foreign national loans</t>
  </si>
  <si>
    <t xml:space="preserve">Second home / vacation home</t>
  </si>
  <si>
    <t xml:space="preserve">Modular / manufactured home (titled as RE)</t>
  </si>
  <si>
    <t xml:space="preserve">When chattel-titled, goes to LNCON</t>
  </si>
  <si>
    <t xml:space="preserve">Closed-end junior liens</t>
  </si>
  <si>
    <t xml:space="preserve">Home equity loans (closed-end seconds)</t>
  </si>
  <si>
    <t xml:space="preserve">Piggyback / silent seconds</t>
  </si>
  <si>
    <t xml:space="preserve">1d. Multifamily (5+ units)</t>
  </si>
  <si>
    <t xml:space="preserve">Multifamily acquisition</t>
  </si>
  <si>
    <t xml:space="preserve">LNREMULT</t>
  </si>
  <si>
    <t xml:space="preserve">Multifamily permanent (held in portfolio)</t>
  </si>
  <si>
    <t xml:space="preserve">Multifamily bridge / value-add</t>
  </si>
  <si>
    <t xml:space="preserve">Multifamily refinance / cash-out refi</t>
  </si>
  <si>
    <t xml:space="preserve">Agency-eligible multifamily (Fannie DUS, Freddie SBL / Optigo, Ginnie / FHA 223(f) and 221(d)(4))</t>
  </si>
  <si>
    <t xml:space="preserve">When held or warehoused on balance sheet</t>
  </si>
  <si>
    <t xml:space="preserve">Affordable housing / LIHTC (4% and 9%) permanent</t>
  </si>
  <si>
    <t xml:space="preserve">Senior housing / assisted living (residential)</t>
  </si>
  <si>
    <t xml:space="preserve">When classified residential, not commercial</t>
  </si>
  <si>
    <t xml:space="preserve">Student housing</t>
  </si>
  <si>
    <t xml:space="preserve">Manufactured housing communities (MHC)</t>
  </si>
  <si>
    <t xml:space="preserve">Cooperative housing (5+ unit co-ops)</t>
  </si>
  <si>
    <t xml:space="preserve">Build-to-rent (BTR) multifamily portfolios</t>
  </si>
  <si>
    <t xml:space="preserve">1e. Nonfarm nonresidential (CRE)</t>
  </si>
  <si>
    <t xml:space="preserve">Owner-occupied</t>
  </si>
  <si>
    <t xml:space="preserve">Owner-occupied office</t>
  </si>
  <si>
    <t xml:space="preserve">LNRENRES</t>
  </si>
  <si>
    <t xml:space="preserve">Yes</t>
  </si>
  <si>
    <t xml:space="preserve">Owner-occupied retail / storefront</t>
  </si>
  <si>
    <t xml:space="preserve">Owner-occupied industrial / warehouse</t>
  </si>
  <si>
    <t xml:space="preserve">Owner-occupied medical / dental office</t>
  </si>
  <si>
    <t xml:space="preserve">Owner-occupied restaurant / fast food</t>
  </si>
  <si>
    <t xml:space="preserve">Owner-occupied auto dealership / repair / body shop</t>
  </si>
  <si>
    <t xml:space="preserve">Owner-occupied self-storage (operator-owned)</t>
  </si>
  <si>
    <t xml:space="preserve">Owner-occupied special purpose (car wash, funeral home, daycare, veterinary)</t>
  </si>
  <si>
    <t xml:space="preserve">Owner-occupied agricultural facilities (gins, storage, processing)</t>
  </si>
  <si>
    <t xml:space="preserve">SBA 504 first-lien portion (bank's piece)</t>
  </si>
  <si>
    <t xml:space="preserve">CDC second piece is separate</t>
  </si>
  <si>
    <t xml:space="preserve">Non-owner-occupied (investor)</t>
  </si>
  <si>
    <t xml:space="preserve">Office — CBD</t>
  </si>
  <si>
    <t xml:space="preserve">Office — suburban</t>
  </si>
  <si>
    <t xml:space="preserve">Office — single-tenant net lease</t>
  </si>
  <si>
    <t xml:space="preserve">Retail — anchored centers</t>
  </si>
  <si>
    <t xml:space="preserve">Retail — unanchored / strip</t>
  </si>
  <si>
    <t xml:space="preserve">Retail — single-tenant NNN</t>
  </si>
  <si>
    <t xml:space="preserve">Retail — ground leases / outparcels</t>
  </si>
  <si>
    <t xml:space="preserve">Industrial / warehouse / distribution / flex</t>
  </si>
  <si>
    <t xml:space="preserve">Industrial — cold storage</t>
  </si>
  <si>
    <t xml:space="preserve">Industrial — last-mile / logistics</t>
  </si>
  <si>
    <t xml:space="preserve">Hospitality — flagged hotels</t>
  </si>
  <si>
    <t xml:space="preserve">Hospitality — boutique / independent</t>
  </si>
  <si>
    <t xml:space="preserve">Hospitality — extended stay</t>
  </si>
  <si>
    <t xml:space="preserve">Hospitality — full-service / resort</t>
  </si>
  <si>
    <t xml:space="preserve">Hospitality — limited-service</t>
  </si>
  <si>
    <t xml:space="preserve">Mixed-use (commercial portion)</t>
  </si>
  <si>
    <t xml:space="preserve">Medical office buildings (investor-owned MOB)</t>
  </si>
  <si>
    <t xml:space="preserve">Self-storage (investor-owned)</t>
  </si>
  <si>
    <t xml:space="preserve">Net-lease / single-tenant triple-net (STNL)</t>
  </si>
  <si>
    <t xml:space="preserve">CRE permanent (stabilized cash-flow)</t>
  </si>
  <si>
    <t xml:space="preserve">CRE bridge / value-add / repositioning</t>
  </si>
  <si>
    <t xml:space="preserve">Mini-perm (bridge through stabilization)</t>
  </si>
  <si>
    <t xml:space="preserve">Special purpose — parking facility</t>
  </si>
  <si>
    <t xml:space="preserve">Special purpose — golf course</t>
  </si>
  <si>
    <t xml:space="preserve">Special purpose — marina</t>
  </si>
  <si>
    <t xml:space="preserve">Special purpose — theaters / entertainment</t>
  </si>
  <si>
    <t xml:space="preserve">Special purpose — fitness / health club</t>
  </si>
  <si>
    <t xml:space="preserve">Religious / institutional (churches)</t>
  </si>
  <si>
    <t xml:space="preserve">Mixed</t>
  </si>
  <si>
    <t xml:space="preserve">Schools / educational institutions</t>
  </si>
  <si>
    <t xml:space="preserve">Nonprofit institutional buildings</t>
  </si>
  <si>
    <t xml:space="preserve">Data centers</t>
  </si>
  <si>
    <t xml:space="preserve">Working capital / revolving</t>
  </si>
  <si>
    <t xml:space="preserve">Operating lines of credit (unsecured)</t>
  </si>
  <si>
    <t xml:space="preserve">LNCI</t>
  </si>
  <si>
    <t xml:space="preserve">ABL revolvers — secured by AR + inventory</t>
  </si>
  <si>
    <t xml:space="preserve">Borrowing-base revolvers</t>
  </si>
  <si>
    <t xml:space="preserve">Seasonal lines</t>
  </si>
  <si>
    <t xml:space="preserve">Inventory financing / floor plan (auto, RV, boat, ag equipment, MH dealer)</t>
  </si>
  <si>
    <t xml:space="preserve">Factoring (when held)</t>
  </si>
  <si>
    <t xml:space="preserve">Trade finance / commercial letters of credit</t>
  </si>
  <si>
    <t xml:space="preserve">Standby letters of credit</t>
  </si>
  <si>
    <t xml:space="preserve">Term loans</t>
  </si>
  <si>
    <t xml:space="preserve">General business term loans (unsecured / non-RE)</t>
  </si>
  <si>
    <t xml:space="preserve">Equipment financing — direct loans against equipment</t>
  </si>
  <si>
    <t xml:space="preserve">Equipment leases (capital / direct financing)</t>
  </si>
  <si>
    <t xml:space="preserve">Can also live in Lease bucket</t>
  </si>
  <si>
    <t xml:space="preserve">Business acquisition financing / LBO</t>
  </si>
  <si>
    <t xml:space="preserve">Sponsor finance (PE-backed company lending)</t>
  </si>
  <si>
    <t xml:space="preserve">Mezzanine / subordinated debt (when booked as loan)</t>
  </si>
  <si>
    <t xml:space="preserve">Shared National Credits (SNC) participations</t>
  </si>
  <si>
    <t xml:space="preserve">Bridge / interim C&amp;I</t>
  </si>
  <si>
    <t xml:space="preserve">Government-guaranteed</t>
  </si>
  <si>
    <t xml:space="preserve">SBA 7(a) — general business (not RE-secured)</t>
  </si>
  <si>
    <t xml:space="preserve">If RE-secured, goes to LNRENRES</t>
  </si>
  <si>
    <t xml:space="preserve">SBA Express</t>
  </si>
  <si>
    <t xml:space="preserve">SBA Microloans</t>
  </si>
  <si>
    <t xml:space="preserve">SBA Export Working Capital</t>
  </si>
  <si>
    <t xml:space="preserve">USDA Business &amp; Industry (B&amp;I) guaranteed loans</t>
  </si>
  <si>
    <t xml:space="preserve">USDA Rural Energy (REAP) loans</t>
  </si>
  <si>
    <t xml:space="preserve">Specialty C&amp;I</t>
  </si>
  <si>
    <t xml:space="preserve">Professional practice loans (medical, dental, legal, accounting, veterinary)</t>
  </si>
  <si>
    <t xml:space="preserve">Franchise financing</t>
  </si>
  <si>
    <t xml:space="preserve">Recurring-revenue / venture debt (SaaS, ARR-based)</t>
  </si>
  <si>
    <t xml:space="preserve">Energy / oil &amp; gas reserve-based lending (RBL)</t>
  </si>
  <si>
    <t xml:space="preserve">Healthcare receivables financing</t>
  </si>
  <si>
    <t xml:space="preserve">Government contract / receivables financing</t>
  </si>
  <si>
    <t xml:space="preserve">Insurance agency financing</t>
  </si>
  <si>
    <t xml:space="preserve">Equipment fleet financing (transportation, construction)</t>
  </si>
  <si>
    <t xml:space="preserve">Crop input financing (when booked as C&amp;I, not ag)</t>
  </si>
  <si>
    <t xml:space="preserve">Cannabis lending (where state-permitted, bank-licensed)</t>
  </si>
  <si>
    <t xml:space="preserve">Credit cards</t>
  </si>
  <si>
    <t xml:space="preserve">General-purpose consumer credit cards</t>
  </si>
  <si>
    <t xml:space="preserve">LNCRCD</t>
  </si>
  <si>
    <t xml:space="preserve">Co-branded / affinity cards</t>
  </si>
  <si>
    <t xml:space="preserve">Secured credit cards</t>
  </si>
  <si>
    <t xml:space="preserve">Charge cards (paid in full monthly)</t>
  </si>
  <si>
    <t xml:space="preserve">Other revolving</t>
  </si>
  <si>
    <t xml:space="preserve">Personal lines of credit (unsecured)</t>
  </si>
  <si>
    <t xml:space="preserve">LNCON</t>
  </si>
  <si>
    <t xml:space="preserve">Overdraft credit lines tied to checking</t>
  </si>
  <si>
    <t xml:space="preserve">Automobile</t>
  </si>
  <si>
    <t xml:space="preserve">Direct auto loans (bank to consumer)</t>
  </si>
  <si>
    <t xml:space="preserve">LNAUTO</t>
  </si>
  <si>
    <t xml:space="preserve">Indirect auto (purchased through dealer)</t>
  </si>
  <si>
    <t xml:space="preserve">New auto</t>
  </si>
  <si>
    <t xml:space="preserve">Used auto</t>
  </si>
  <si>
    <t xml:space="preserve">Auto refinance</t>
  </si>
  <si>
    <t xml:space="preserve">Lease financing — passenger / personal</t>
  </si>
  <si>
    <t xml:space="preserve">Other consumer</t>
  </si>
  <si>
    <t xml:space="preserve">Personal / signature unsecured installment loans</t>
  </si>
  <si>
    <t xml:space="preserve">Single-payment / single-pay loans</t>
  </si>
  <si>
    <t xml:space="preserve">Closed-end installment (secured by deposits / CDs / securities)</t>
  </si>
  <si>
    <t xml:space="preserve">Boat loans</t>
  </si>
  <si>
    <t xml:space="preserve">RV loans</t>
  </si>
  <si>
    <t xml:space="preserve">Motorcycle loans</t>
  </si>
  <si>
    <t xml:space="preserve">Aircraft loans (personal use)</t>
  </si>
  <si>
    <t xml:space="preserve">Student loans (private origination)</t>
  </si>
  <si>
    <t xml:space="preserve">Student loan refinance</t>
  </si>
  <si>
    <t xml:space="preserve">Home improvement (unsecured)</t>
  </si>
  <si>
    <t xml:space="preserve">Solar / energy-efficiency consumer</t>
  </si>
  <si>
    <t xml:space="preserve">Medical financing</t>
  </si>
  <si>
    <t xml:space="preserve">BNPL / point-of-sale installment (held on BS)</t>
  </si>
  <si>
    <t xml:space="preserve">Chattel-titled manufactured housing</t>
  </si>
  <si>
    <t xml:space="preserve">When titled as personal property</t>
  </si>
  <si>
    <t xml:space="preserve">Operating</t>
  </si>
  <si>
    <t xml:space="preserve">Crop operating / seasonal lines</t>
  </si>
  <si>
    <t xml:space="preserve">LNAG</t>
  </si>
  <si>
    <t xml:space="preserve">Livestock operating (cow-calf, feeder, stocker)</t>
  </si>
  <si>
    <t xml:space="preserve">Dairy operating</t>
  </si>
  <si>
    <t xml:space="preserve">Poultry production (broiler, layer, turkey)</t>
  </si>
  <si>
    <t xml:space="preserve">Hog / swine operations</t>
  </si>
  <si>
    <t xml:space="preserve">Aquaculture financing</t>
  </si>
  <si>
    <t xml:space="preserve">Crop insurance premium financing</t>
  </si>
  <si>
    <t xml:space="preserve">Grain storage and handling</t>
  </si>
  <si>
    <t xml:space="preserve">Agricultural equipment loans</t>
  </si>
  <si>
    <t xml:space="preserve">Sometimes classified as C&amp;I</t>
  </si>
  <si>
    <t xml:space="preserve">Farm input financing (seed, fertilizer, chemicals)</t>
  </si>
  <si>
    <t xml:space="preserve">Commodity advance / inventory financing</t>
  </si>
  <si>
    <t xml:space="preserve">Custom-harvest operator loans</t>
  </si>
  <si>
    <t xml:space="preserve">USDA FSA guaranteed operating</t>
  </si>
  <si>
    <t xml:space="preserve">USDA FSA ownership loans</t>
  </si>
  <si>
    <t xml:space="preserve">Real-estate-secured ownership may split to LNREAG</t>
  </si>
  <si>
    <t xml:space="preserve">Beginning Farmer &amp; Rancher loans</t>
  </si>
  <si>
    <t xml:space="preserve">Federal funds sold (when not in trading book)</t>
  </si>
  <si>
    <t xml:space="preserve">LNDEP</t>
  </si>
  <si>
    <t xml:space="preserve">Term loans to commercial banks</t>
  </si>
  <si>
    <t xml:space="preserve">Loans to savings institutions</t>
  </si>
  <si>
    <t xml:space="preserve">Loans to credit unions</t>
  </si>
  <si>
    <t xml:space="preserve">Loans to bank holding companies / FHCs</t>
  </si>
  <si>
    <t xml:space="preserve">Loans to non-US banks</t>
  </si>
  <si>
    <t xml:space="preserve">Separate sub-line on Call Report</t>
  </si>
  <si>
    <t xml:space="preserve">Bankers' acceptances purchased</t>
  </si>
  <si>
    <t xml:space="preserve">Participations in pools of bank loans</t>
  </si>
  <si>
    <t xml:space="preserve">General obligation direct loans</t>
  </si>
  <si>
    <t xml:space="preserve">LNMUNI</t>
  </si>
  <si>
    <t xml:space="preserve">Revenue-backed direct loans (utility, hospital, etc.)</t>
  </si>
  <si>
    <t xml:space="preserve">Tax anticipation notes (TANs)</t>
  </si>
  <si>
    <t xml:space="preserve">Bond anticipation notes (BANs)</t>
  </si>
  <si>
    <t xml:space="preserve">Revenue anticipation notes (RANs)</t>
  </si>
  <si>
    <t xml:space="preserve">Municipal lease-purchase / capital lease financing</t>
  </si>
  <si>
    <t xml:space="preserve">School district direct loans (tax-exempt)</t>
  </si>
  <si>
    <t xml:space="preserve">Community college / university district direct loans</t>
  </si>
  <si>
    <t xml:space="preserve">Water / sewer / utility district loans</t>
  </si>
  <si>
    <t xml:space="preserve">Fire / EMS / hospital district loans</t>
  </si>
  <si>
    <t xml:space="preserve">Municipal economic development (TIF, PID)</t>
  </si>
  <si>
    <t xml:space="preserve">Tribal government loans</t>
  </si>
  <si>
    <t xml:space="preserve">Separate FFIEC treatment; sometimes here</t>
  </si>
  <si>
    <t xml:space="preserve">Sovereign loans</t>
  </si>
  <si>
    <t xml:space="preserve">—</t>
  </si>
  <si>
    <t xml:space="preserve">Essentially zero for community banks</t>
  </si>
  <si>
    <t xml:space="preserve">Foreign government agency loans</t>
  </si>
  <si>
    <t xml:space="preserve">Multilateral institution participations (World Bank, IFC)</t>
  </si>
  <si>
    <t xml:space="preserve">Export-Import Bank guaranteed sovereign</t>
  </si>
  <si>
    <t xml:space="preserve">Margin loans (purchasing / carrying securities, non-broker-dealer)</t>
  </si>
  <si>
    <t xml:space="preserve">Loans to nonprofit organizations (non-RE)</t>
  </si>
  <si>
    <t xml:space="preserve">Loans to religious organizations (non-RE)</t>
  </si>
  <si>
    <t xml:space="preserve">Insurance premium financing</t>
  </si>
  <si>
    <t xml:space="preserve">Cash-surrender-value life insurance policy loans</t>
  </si>
  <si>
    <t xml:space="preserve">Loans secured by unusual collateral (jewelry, art, collectibles)</t>
  </si>
  <si>
    <t xml:space="preserve">Bridge loans not categorizable elsewhere</t>
  </si>
  <si>
    <t xml:space="preserve">Specialty consumer (e.g., funeral pre-need financing)</t>
  </si>
  <si>
    <t xml:space="preserve">Direct financing leases</t>
  </si>
  <si>
    <t xml:space="preserve">Leveraged leases</t>
  </si>
  <si>
    <t xml:space="preserve">Sales-type leases</t>
  </si>
  <si>
    <t xml:space="preserve">Operating leases (when capitalized)</t>
  </si>
  <si>
    <t xml:space="preserve">Equipment leases — commercial machinery, heavy equipment</t>
  </si>
  <si>
    <t xml:space="preserve">Vehicle fleet leases (commercial)</t>
  </si>
  <si>
    <t xml:space="preserve">IT / technology equipment leases</t>
  </si>
  <si>
    <t xml:space="preserve">Healthcare / medical equipment leases</t>
  </si>
  <si>
    <t xml:space="preserve">Aircraft leases (commercial)</t>
  </si>
  <si>
    <t xml:space="preserve">Marine / vessel leases</t>
  </si>
  <si>
    <t xml:space="preserve">Rail car leases</t>
  </si>
  <si>
    <t xml:space="preserve">Energy / pipeline equipment leases</t>
  </si>
  <si>
    <t xml:space="preserve">Total products listed:</t>
  </si>
  <si>
    <t xml:space="preserve">FDIC Field Code</t>
  </si>
  <si>
    <t xml:space="preserve">Description</t>
  </si>
  <si>
    <t xml:space="preserve">Call Report Schedule</t>
  </si>
  <si>
    <t xml:space="preserve">LNRE</t>
  </si>
  <si>
    <t xml:space="preserve">Total loans secured by real estate (sum of all RE sub-fields)</t>
  </si>
  <si>
    <t xml:space="preserve">RC-C</t>
  </si>
  <si>
    <t xml:space="preserve">Real estate: construction, land development, other land</t>
  </si>
  <si>
    <t xml:space="preserve">Real estate: secured by farmland</t>
  </si>
  <si>
    <t xml:space="preserve">Real estate: 1-4 family residential (HELOCs + closed-end)</t>
  </si>
  <si>
    <t xml:space="preserve">Real estate: multifamily (5+) residential</t>
  </si>
  <si>
    <t xml:space="preserve">Real estate: nonfarm nonresidential (commercial RE, owner-occ + non-owner-occ)</t>
  </si>
  <si>
    <t xml:space="preserve">Commercial and industrial loans</t>
  </si>
  <si>
    <t xml:space="preserve">Agricultural production and other loans to farmers</t>
  </si>
  <si>
    <t xml:space="preserve">Loans to individuals for household / family / personal expenditures</t>
  </si>
  <si>
    <t xml:space="preserve">Credit cards (subset of LNCON)</t>
  </si>
  <si>
    <t xml:space="preserve">Automobile loans (subset of LNCON)</t>
  </si>
  <si>
    <t xml:space="preserve">Loans to depository institutions and acceptances of other banks</t>
  </si>
  <si>
    <t xml:space="preserve">Obligations of states and political subdivisions in the US</t>
  </si>
  <si>
    <t xml:space="preserve">LNLSGR</t>
  </si>
  <si>
    <t xml:space="preserve">Total loans + leases, gross (the denominator for loan-mix %)</t>
  </si>
  <si>
    <t xml:space="preserve">LNLSNET</t>
  </si>
  <si>
    <t xml:space="preserve">Total loans + leases, net of unearned income</t>
  </si>
  <si>
    <t xml:space="preserve">NCLNLSR</t>
  </si>
  <si>
    <t xml:space="preserve">Total noncurrent loans (90+ DPD still accruing + nonaccrual)</t>
  </si>
  <si>
    <t xml:space="preserve">RC-N</t>
  </si>
  <si>
    <t xml:space="preserve">NAASSET</t>
  </si>
  <si>
    <t xml:space="preserve">Nonaccrual loans</t>
  </si>
  <si>
    <t xml:space="preserve">P3ASSET</t>
  </si>
  <si>
    <t xml:space="preserve">Loans 30-89 days past due, still accruing</t>
  </si>
  <si>
    <t xml:space="preserve">P9ASSET</t>
  </si>
  <si>
    <t xml:space="preserve">Loans 90+ days past due, still accruing</t>
  </si>
  <si>
    <t xml:space="preserve">Topic</t>
  </si>
  <si>
    <t xml:space="preserve">What to watch for</t>
  </si>
  <si>
    <t xml:space="preserve">SBA loans split by collateral</t>
  </si>
  <si>
    <t xml:space="preserve">SBA 7(a) secured by CRE → LNRENRES. SBA 7(a) on equipment / WC → LNCI. SBA 504 first-lien portion → LNRENRES. Always tag the SBA product separately in Lenni metadata.</t>
  </si>
  <si>
    <t xml:space="preserve">Construction-to-perm migrates buckets</t>
  </si>
  <si>
    <t xml:space="preserve">During construction in LNRECONS. After conversion to perm, moves to LNREMULT / LNRENRES / LNRERSDL by property type. Banks doing single-close construction-to-perm look larger in construction than they 'really' are.</t>
  </si>
  <si>
    <t xml:space="preserve">Bridge loans have no single bucket</t>
  </si>
  <si>
    <t xml:space="preserve">Multifamily bridge → LNREMULT. CRE bridge → LNRENRES. Residential bridge → LNRERSDL. Generic business bridge → LNCI.</t>
  </si>
  <si>
    <t xml:space="preserve">HELOCs vs closed-end residential</t>
  </si>
  <si>
    <t xml:space="preserve">Both live in LNRERSDL on BankFind. UBPR (page 7) breaks them out separately.</t>
  </si>
  <si>
    <t xml:space="preserve">Investor 1-4 family / DSCR stays in residential</t>
  </si>
  <si>
    <t xml:space="preserve">Non-owner-occupied 1-4 unit rentals stay in LNRERSDL, not CRE. Some banks classify internally as CRE; the regulatory bucket is residential.</t>
  </si>
  <si>
    <t xml:space="preserve">Manufactured housing splits by titling</t>
  </si>
  <si>
    <t xml:space="preserve">Titled as real estate (with land) → LNRERSDL. Titled as personal property (chattel) → LNCON.</t>
  </si>
  <si>
    <t xml:space="preserve">Owner-occupied vs non-owner-occupied CRE</t>
  </si>
  <si>
    <t xml:space="preserve">FDIC BankFind aggregates both into LNRENRES. Call Report breaks them on Schedule RC-C; UBPR shows the split on page 7A. Need UBPR data for clean separation.</t>
  </si>
  <si>
    <t xml:space="preserve">Religious / nonprofit / institutional</t>
  </si>
  <si>
    <t xml:space="preserve">Typically LNRENRES if RE-secured, else Other Loans. Some banks have meaningful concentrations that don't show up on the standard CRE concentration ratio.</t>
  </si>
  <si>
    <t xml:space="preserve">Equipment leases vs equipment loans</t>
  </si>
  <si>
    <t xml:space="preserve">Equipment leases can sit in lease financing receivables OR LNCI depending on lease type and bank policy. Be consistent in mapping.</t>
  </si>
  <si>
    <t xml:space="preserve">Ag equipment classification</t>
  </si>
  <si>
    <t xml:space="preserve">Some banks book ag equipment loans in LNAG (with farmer); others in LNCI. Bank-specific.</t>
  </si>
  <si>
    <t xml:space="preserve">Munis: loan vs security</t>
  </si>
  <si>
    <t xml:space="preserve">Direct loan to municipality → LNMUNI. Buying a muni bond → investment portfolio, not loans. Same instrument, different bucket based on form.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</si>
</sst>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03048"/>
      <name val="Arial"/>
      <family val="0"/>
      <charset val="1"/>
    </font>
    <font>
      <i val="true"/>
      <sz val="10"/>
      <color rgb="FF6B6B6B"/>
      <name val="Arial"/>
      <family val="0"/>
      <charset val="1"/>
    </font>
    <font>
      <b val="true"/>
      <sz val="12"/>
      <color rgb="FF203048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203048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03048"/>
      <name val="Arial"/>
      <family val="0"/>
      <charset val="1"/>
    </font>
    <font>
      <sz val="10"/>
      <color rgb="FF0A6E2A"/>
      <name val="Consolas"/>
      <family val="0"/>
      <charset val="1"/>
    </font>
    <font>
      <b val="true"/>
      <sz val="10"/>
      <name val="Arial"/>
      <family val="0"/>
      <charset val="1"/>
    </font>
    <font>
      <sz val="10"/>
      <name val="Consolas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03048"/>
        <bgColor rgb="FF003366"/>
      </patternFill>
    </fill>
    <fill>
      <patternFill patternType="solid">
        <fgColor rgb="FFFAFAF6"/>
        <bgColor rgb="FFFFFFFF"/>
      </patternFill>
    </fill>
    <fill>
      <patternFill patternType="solid">
        <fgColor rgb="FFEDF5E2"/>
        <bgColor rgb="FFFAFAF6"/>
      </patternFill>
    </fill>
    <fill>
      <patternFill patternType="solid">
        <fgColor rgb="FFC7E5A8"/>
        <bgColor rgb="FFD6D2C5"/>
      </patternFill>
    </fill>
    <fill>
      <patternFill patternType="solid">
        <fgColor rgb="FFFFF1C7"/>
        <bgColor rgb="FFEDF5E2"/>
      </patternFill>
    </fill>
    <fill>
      <patternFill patternType="solid">
        <fgColor rgb="FFF1E4E0"/>
        <bgColor rgb="FFEDF5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2C5"/>
      </left>
      <right style="thin">
        <color rgb="FFD6D2C5"/>
      </right>
      <top style="thin">
        <color rgb="FFD6D2C5"/>
      </top>
      <bottom style="thin">
        <color rgb="FFD6D2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03048"/>
          <bgColor rgb="FF000000"/>
        </patternFill>
      </fill>
    </dxf>
    <dxf>
      <fill>
        <patternFill patternType="solid">
          <fgColor rgb="FFC7E5A8"/>
          <bgColor rgb="FF000000"/>
        </patternFill>
      </fill>
    </dxf>
    <dxf>
      <fill>
        <patternFill patternType="solid">
          <fgColor rgb="FFF1E4E0"/>
          <bgColor rgb="FF000000"/>
        </patternFill>
      </fill>
    </dxf>
    <dxf>
      <fill>
        <patternFill patternType="solid">
          <fgColor rgb="FFFFF1C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AFAF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A6E2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A6E2A"/>
      <rgbColor rgb="FF000080"/>
      <rgbColor rgb="FF808000"/>
      <rgbColor rgb="FF800080"/>
      <rgbColor rgb="FF008080"/>
      <rgbColor rgb="FFD6D2C5"/>
      <rgbColor rgb="FF808080"/>
      <rgbColor rgb="FF9999FF"/>
      <rgbColor rgb="FF993366"/>
      <rgbColor rgb="FFFFF1C7"/>
      <rgbColor rgb="FFFAFAF6"/>
      <rgbColor rgb="FF660066"/>
      <rgbColor rgb="FFFF8080"/>
      <rgbColor rgb="FF0066CC"/>
      <rgbColor rgb="FFF1E4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7E5A8"/>
      <rgbColor rgb="FFEDF5E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203048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12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3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2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69.75" hidden="false" customHeight="true" outlineLevel="0" collapsed="false">
      <c r="A5" s="5" t="s">
        <v>3</v>
      </c>
    </row>
    <row r="7" customFormat="false" ht="15" hidden="false" customHeight="true" outlineLevel="0" collapsed="false">
      <c r="A7" s="4" t="s">
        <v>4</v>
      </c>
    </row>
    <row r="8" customFormat="false" ht="15" hidden="false" customHeight="true" outlineLevel="0" collapsed="false">
      <c r="A8" s="6" t="s">
        <v>5</v>
      </c>
    </row>
    <row r="9" customFormat="false" ht="15" hidden="false" customHeight="true" outlineLevel="0" collapsed="false">
      <c r="A9" s="6" t="s">
        <v>6</v>
      </c>
    </row>
    <row r="10" customFormat="false" ht="15" hidden="false" customHeight="true" outlineLevel="0" collapsed="false">
      <c r="A10" s="6" t="s">
        <v>7</v>
      </c>
    </row>
    <row r="12" customFormat="false" ht="15" hidden="false" customHeight="true" outlineLevel="0" collapsed="false">
      <c r="A12" s="4" t="s">
        <v>8</v>
      </c>
    </row>
    <row r="13" customFormat="false" ht="69.75" hidden="false" customHeight="true" outlineLevel="0" collapsed="false">
      <c r="A13" s="5" t="s">
        <v>9</v>
      </c>
    </row>
    <row r="15" customFormat="false" ht="15" hidden="false" customHeight="true" outlineLevel="0" collapsed="false">
      <c r="A15" s="4" t="s">
        <v>10</v>
      </c>
    </row>
    <row r="16" customFormat="false" ht="15" hidden="false" customHeight="true" outlineLevel="0" collapsed="false">
      <c r="A16" s="6" t="s">
        <v>11</v>
      </c>
    </row>
    <row r="17" customFormat="false" ht="15" hidden="false" customHeight="true" outlineLevel="0" collapsed="false">
      <c r="A17" s="6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4" min="3" style="0" width="20"/>
    <col collapsed="false" customWidth="true" hidden="false" outlineLevel="0" max="5" min="5" style="0" width="56"/>
  </cols>
  <sheetData>
    <row r="1" customFormat="false" ht="17.35" hidden="false" customHeight="false" outlineLevel="0" collapsed="false">
      <c r="A1" s="7" t="s">
        <v>13</v>
      </c>
      <c r="B1" s="7"/>
      <c r="C1" s="7"/>
      <c r="D1" s="7"/>
    </row>
    <row r="2" customFormat="false" ht="21.75" hidden="false" customHeight="true" outlineLevel="0" collapsed="false">
      <c r="A2" s="8" t="s">
        <v>14</v>
      </c>
      <c r="B2" s="8"/>
      <c r="C2" s="8"/>
      <c r="D2" s="8"/>
    </row>
    <row r="4" customFormat="false" ht="15" hidden="false" customHeight="false" outlineLevel="0" collapsed="false">
      <c r="A4" s="9" t="s">
        <v>15</v>
      </c>
    </row>
    <row r="5" customFormat="false" ht="27.75" hidden="false" customHeight="true" outlineLevel="0" collapsed="false">
      <c r="A5" s="10" t="s">
        <v>16</v>
      </c>
      <c r="B5" s="10" t="s">
        <v>17</v>
      </c>
      <c r="C5" s="10" t="s">
        <v>18</v>
      </c>
    </row>
    <row r="6" customFormat="false" ht="35.05" hidden="false" customHeight="false" outlineLevel="0" collapsed="false">
      <c r="A6" s="11" t="s">
        <v>19</v>
      </c>
      <c r="B6" s="12" t="s">
        <v>20</v>
      </c>
      <c r="C6" s="11" t="s">
        <v>21</v>
      </c>
    </row>
    <row r="7" customFormat="false" ht="15" hidden="false" customHeight="false" outlineLevel="0" collapsed="false">
      <c r="A7" s="13" t="s">
        <v>22</v>
      </c>
      <c r="B7" s="14" t="s">
        <v>23</v>
      </c>
      <c r="C7" s="13" t="s">
        <v>24</v>
      </c>
    </row>
    <row r="8" customFormat="false" ht="23.85" hidden="false" customHeight="false" outlineLevel="0" collapsed="false">
      <c r="A8" s="11" t="s">
        <v>25</v>
      </c>
      <c r="B8" s="12" t="s">
        <v>26</v>
      </c>
      <c r="C8" s="11" t="s">
        <v>27</v>
      </c>
    </row>
    <row r="9" customFormat="false" ht="35.05" hidden="false" customHeight="false" outlineLevel="0" collapsed="false">
      <c r="A9" s="15" t="s">
        <v>28</v>
      </c>
      <c r="B9" s="15" t="s">
        <v>29</v>
      </c>
      <c r="C9" s="15" t="s">
        <v>30</v>
      </c>
    </row>
    <row r="12" customFormat="false" ht="15" hidden="false" customHeight="false" outlineLevel="0" collapsed="false">
      <c r="A12" s="9" t="s">
        <v>31</v>
      </c>
    </row>
    <row r="13" customFormat="false" ht="27.75" hidden="false" customHeight="true" outlineLevel="0" collapsed="false">
      <c r="A13" s="10" t="s">
        <v>32</v>
      </c>
      <c r="B13" s="10" t="s">
        <v>33</v>
      </c>
      <c r="C13" s="10" t="s">
        <v>34</v>
      </c>
      <c r="D13" s="10" t="s">
        <v>35</v>
      </c>
      <c r="E13" s="10" t="s">
        <v>36</v>
      </c>
    </row>
    <row r="14" customFormat="false" ht="15" hidden="false" customHeight="false" outlineLevel="0" collapsed="false">
      <c r="A14" s="11" t="s">
        <v>37</v>
      </c>
      <c r="B14" s="16" t="n">
        <v>22</v>
      </c>
      <c r="C14" s="16" t="n">
        <v>4</v>
      </c>
      <c r="D14" s="16" t="n">
        <v>5</v>
      </c>
      <c r="E14" s="11" t="s">
        <v>38</v>
      </c>
    </row>
    <row r="15" customFormat="false" ht="15" hidden="false" customHeight="false" outlineLevel="0" collapsed="false">
      <c r="A15" s="13" t="s">
        <v>39</v>
      </c>
      <c r="B15" s="17" t="n">
        <v>7</v>
      </c>
      <c r="C15" s="17" t="n">
        <v>1</v>
      </c>
      <c r="D15" s="17" t="n">
        <v>1</v>
      </c>
      <c r="E15" s="13" t="s">
        <v>40</v>
      </c>
    </row>
    <row r="16" customFormat="false" ht="23.85" hidden="false" customHeight="false" outlineLevel="0" collapsed="false">
      <c r="A16" s="11" t="s">
        <v>41</v>
      </c>
      <c r="B16" s="16" t="n">
        <v>18</v>
      </c>
      <c r="C16" s="16" t="n">
        <v>4</v>
      </c>
      <c r="D16" s="16" t="n">
        <v>5</v>
      </c>
      <c r="E16" s="11" t="s">
        <v>42</v>
      </c>
    </row>
    <row r="17" customFormat="false" ht="15" hidden="false" customHeight="false" outlineLevel="0" collapsed="false">
      <c r="A17" s="13" t="s">
        <v>43</v>
      </c>
      <c r="B17" s="17" t="n">
        <v>11</v>
      </c>
      <c r="C17" s="17" t="n">
        <v>3</v>
      </c>
      <c r="D17" s="17" t="n">
        <v>5</v>
      </c>
      <c r="E17" s="13" t="s">
        <v>44</v>
      </c>
    </row>
    <row r="18" customFormat="false" ht="23.85" hidden="false" customHeight="false" outlineLevel="0" collapsed="false">
      <c r="A18" s="11" t="s">
        <v>45</v>
      </c>
      <c r="B18" s="16" t="n">
        <v>32</v>
      </c>
      <c r="C18" s="16" t="n">
        <v>5</v>
      </c>
      <c r="D18" s="16" t="n">
        <v>7</v>
      </c>
      <c r="E18" s="11" t="s">
        <v>46</v>
      </c>
    </row>
    <row r="19" customFormat="false" ht="15" hidden="false" customHeight="false" outlineLevel="0" collapsed="false">
      <c r="A19" s="13" t="s">
        <v>47</v>
      </c>
      <c r="B19" s="17" t="n">
        <v>31</v>
      </c>
      <c r="C19" s="17" t="n">
        <v>4</v>
      </c>
      <c r="D19" s="17" t="n">
        <v>7</v>
      </c>
      <c r="E19" s="13" t="s">
        <v>48</v>
      </c>
    </row>
    <row r="20" customFormat="false" ht="15" hidden="false" customHeight="false" outlineLevel="0" collapsed="false">
      <c r="A20" s="11" t="s">
        <v>49</v>
      </c>
      <c r="B20" s="16" t="n">
        <v>24</v>
      </c>
      <c r="C20" s="16" t="n">
        <v>3</v>
      </c>
      <c r="D20" s="16" t="n">
        <v>4</v>
      </c>
      <c r="E20" s="11" t="s">
        <v>50</v>
      </c>
    </row>
    <row r="21" customFormat="false" ht="15" hidden="false" customHeight="false" outlineLevel="0" collapsed="false">
      <c r="A21" s="13" t="s">
        <v>51</v>
      </c>
      <c r="B21" s="17" t="n">
        <v>15</v>
      </c>
      <c r="C21" s="17" t="n">
        <v>2</v>
      </c>
      <c r="D21" s="17" t="n">
        <v>3</v>
      </c>
      <c r="E21" s="13" t="s">
        <v>52</v>
      </c>
    </row>
    <row r="22" customFormat="false" ht="15" hidden="false" customHeight="false" outlineLevel="0" collapsed="false">
      <c r="A22" s="11" t="s">
        <v>53</v>
      </c>
      <c r="B22" s="16" t="n">
        <v>8</v>
      </c>
      <c r="C22" s="16" t="n">
        <v>0</v>
      </c>
      <c r="D22" s="16" t="n">
        <v>1</v>
      </c>
      <c r="E22" s="11" t="s">
        <v>54</v>
      </c>
    </row>
    <row r="23" customFormat="false" ht="15" hidden="false" customHeight="false" outlineLevel="0" collapsed="false">
      <c r="A23" s="13" t="s">
        <v>55</v>
      </c>
      <c r="B23" s="17" t="n">
        <v>12</v>
      </c>
      <c r="C23" s="17" t="n">
        <v>1</v>
      </c>
      <c r="D23" s="17" t="n">
        <v>2</v>
      </c>
      <c r="E23" s="13" t="s">
        <v>56</v>
      </c>
    </row>
    <row r="24" customFormat="false" ht="15" hidden="false" customHeight="false" outlineLevel="0" collapsed="false">
      <c r="A24" s="11" t="s">
        <v>57</v>
      </c>
      <c r="B24" s="16" t="n">
        <v>4</v>
      </c>
      <c r="C24" s="16" t="n">
        <v>0</v>
      </c>
      <c r="D24" s="16" t="n">
        <v>0</v>
      </c>
      <c r="E24" s="11" t="s">
        <v>58</v>
      </c>
    </row>
    <row r="25" customFormat="false" ht="15" hidden="false" customHeight="false" outlineLevel="0" collapsed="false">
      <c r="A25" s="13" t="s">
        <v>59</v>
      </c>
      <c r="B25" s="17" t="n">
        <v>8</v>
      </c>
      <c r="C25" s="17" t="n">
        <v>0</v>
      </c>
      <c r="D25" s="17" t="n">
        <v>1</v>
      </c>
      <c r="E25" s="13" t="s">
        <v>60</v>
      </c>
    </row>
    <row r="26" customFormat="false" ht="15" hidden="false" customHeight="false" outlineLevel="0" collapsed="false">
      <c r="A26" s="11" t="s">
        <v>61</v>
      </c>
      <c r="B26" s="16" t="n">
        <v>12</v>
      </c>
      <c r="C26" s="16" t="n">
        <v>0</v>
      </c>
      <c r="D26" s="16" t="n">
        <v>1</v>
      </c>
      <c r="E26" s="11" t="s">
        <v>62</v>
      </c>
    </row>
    <row r="27" customFormat="false" ht="15" hidden="false" customHeight="false" outlineLevel="0" collapsed="false">
      <c r="A27" s="15" t="s">
        <v>63</v>
      </c>
      <c r="B27" s="18" t="n">
        <f aca="false">SUM(B14:B26)</f>
        <v>204</v>
      </c>
      <c r="C27" s="18" t="n">
        <f aca="false">SUM(C14:C26)</f>
        <v>27</v>
      </c>
      <c r="D27" s="18" t="n">
        <f aca="false">SUM(D14:D26)</f>
        <v>42</v>
      </c>
      <c r="E27" s="15" t="s">
        <v>64</v>
      </c>
    </row>
    <row r="29" customFormat="false" ht="15" hidden="false" customHeight="false" outlineLevel="0" collapsed="false">
      <c r="A29" s="9" t="s">
        <v>65</v>
      </c>
    </row>
    <row r="30" customFormat="false" ht="60" hidden="false" customHeight="true" outlineLevel="0" collapsed="false">
      <c r="A30" s="19" t="s">
        <v>66</v>
      </c>
      <c r="B30" s="19"/>
      <c r="C30" s="19"/>
      <c r="D30" s="19"/>
      <c r="E30" s="19"/>
    </row>
  </sheetData>
  <mergeCells count="3">
    <mergeCell ref="A1:D1"/>
    <mergeCell ref="A2:D2"/>
    <mergeCell ref="A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36"/>
    <col collapsed="false" customWidth="true" hidden="false" outlineLevel="0" max="4" min="4" style="0" width="22"/>
    <col collapsed="false" customWidth="true" hidden="false" outlineLevel="0" max="6" min="5" style="0" width="50"/>
  </cols>
  <sheetData>
    <row r="1" customFormat="false" ht="17.35" hidden="false" customHeight="false" outlineLevel="0" collapsed="false">
      <c r="A1" s="7" t="s">
        <v>67</v>
      </c>
      <c r="B1" s="7"/>
      <c r="C1" s="7"/>
      <c r="D1" s="7"/>
      <c r="E1" s="7"/>
      <c r="F1" s="7"/>
    </row>
    <row r="2" customFormat="false" ht="21.75" hidden="false" customHeight="true" outlineLevel="0" collapsed="false">
      <c r="A2" s="8" t="s">
        <v>68</v>
      </c>
      <c r="B2" s="8"/>
      <c r="C2" s="8"/>
      <c r="D2" s="8"/>
      <c r="E2" s="8"/>
      <c r="F2" s="8"/>
    </row>
    <row r="4" customFormat="false" ht="27.75" hidden="false" customHeight="true" outlineLevel="0" collapsed="false">
      <c r="A4" s="10" t="s">
        <v>69</v>
      </c>
      <c r="B4" s="10" t="s">
        <v>70</v>
      </c>
      <c r="C4" s="10" t="s">
        <v>71</v>
      </c>
      <c r="D4" s="10" t="s">
        <v>72</v>
      </c>
      <c r="E4" s="10"/>
    </row>
    <row r="5" customFormat="false" ht="23.85" hidden="false" customHeight="false" outlineLevel="0" collapsed="false">
      <c r="A5" s="20" t="s">
        <v>73</v>
      </c>
      <c r="B5" s="21" t="s">
        <v>74</v>
      </c>
      <c r="C5" s="21" t="s">
        <v>75</v>
      </c>
      <c r="D5" s="21" t="s">
        <v>76</v>
      </c>
      <c r="E5" s="21"/>
    </row>
    <row r="6" customFormat="false" ht="23.85" hidden="false" customHeight="false" outlineLevel="0" collapsed="false">
      <c r="A6" s="22" t="s">
        <v>77</v>
      </c>
      <c r="B6" s="23" t="s">
        <v>78</v>
      </c>
      <c r="C6" s="23" t="s">
        <v>79</v>
      </c>
      <c r="D6" s="23" t="s">
        <v>80</v>
      </c>
      <c r="E6" s="23"/>
    </row>
    <row r="7" customFormat="false" ht="23.85" hidden="false" customHeight="false" outlineLevel="0" collapsed="false">
      <c r="A7" s="24" t="s">
        <v>81</v>
      </c>
      <c r="B7" s="25" t="s">
        <v>82</v>
      </c>
      <c r="C7" s="25" t="s">
        <v>83</v>
      </c>
      <c r="D7" s="25" t="s">
        <v>84</v>
      </c>
      <c r="E7" s="25"/>
    </row>
    <row r="9" customFormat="false" ht="27.75" hidden="false" customHeight="true" outlineLevel="0" collapsed="false">
      <c r="A9" s="10" t="s">
        <v>69</v>
      </c>
      <c r="B9" s="10" t="s">
        <v>85</v>
      </c>
      <c r="C9" s="10" t="s">
        <v>86</v>
      </c>
      <c r="D9" s="10" t="s">
        <v>32</v>
      </c>
      <c r="E9" s="10" t="s">
        <v>87</v>
      </c>
      <c r="F9" s="10" t="s">
        <v>88</v>
      </c>
    </row>
    <row r="10" customFormat="false" ht="23.85" hidden="false" customHeight="false" outlineLevel="0" collapsed="false">
      <c r="A10" s="26" t="s">
        <v>73</v>
      </c>
      <c r="B10" s="27" t="s">
        <v>89</v>
      </c>
      <c r="C10" s="28" t="s">
        <v>90</v>
      </c>
      <c r="D10" s="11" t="s">
        <v>91</v>
      </c>
      <c r="E10" s="11" t="s">
        <v>92</v>
      </c>
      <c r="F10" s="11" t="s">
        <v>93</v>
      </c>
    </row>
    <row r="11" customFormat="false" ht="23.85" hidden="false" customHeight="false" outlineLevel="0" collapsed="false">
      <c r="A11" s="26" t="s">
        <v>73</v>
      </c>
      <c r="B11" s="29" t="s">
        <v>94</v>
      </c>
      <c r="C11" s="30" t="s">
        <v>95</v>
      </c>
      <c r="D11" s="13" t="s">
        <v>91</v>
      </c>
      <c r="E11" s="13" t="s">
        <v>96</v>
      </c>
      <c r="F11" s="13" t="s">
        <v>97</v>
      </c>
    </row>
    <row r="12" customFormat="false" ht="23.85" hidden="false" customHeight="false" outlineLevel="0" collapsed="false">
      <c r="A12" s="26" t="s">
        <v>73</v>
      </c>
      <c r="B12" s="27" t="s">
        <v>98</v>
      </c>
      <c r="C12" s="28" t="s">
        <v>99</v>
      </c>
      <c r="D12" s="11" t="s">
        <v>100</v>
      </c>
      <c r="E12" s="11" t="s">
        <v>101</v>
      </c>
      <c r="F12" s="11" t="s">
        <v>102</v>
      </c>
    </row>
    <row r="13" customFormat="false" ht="23.85" hidden="false" customHeight="false" outlineLevel="0" collapsed="false">
      <c r="A13" s="26" t="s">
        <v>73</v>
      </c>
      <c r="B13" s="29" t="s">
        <v>103</v>
      </c>
      <c r="C13" s="30" t="s">
        <v>104</v>
      </c>
      <c r="D13" s="13" t="s">
        <v>100</v>
      </c>
      <c r="E13" s="13" t="s">
        <v>105</v>
      </c>
      <c r="F13" s="13" t="s">
        <v>106</v>
      </c>
    </row>
    <row r="14" customFormat="false" ht="23.85" hidden="false" customHeight="false" outlineLevel="0" collapsed="false">
      <c r="A14" s="26" t="s">
        <v>73</v>
      </c>
      <c r="B14" s="27" t="s">
        <v>107</v>
      </c>
      <c r="C14" s="28" t="s">
        <v>108</v>
      </c>
      <c r="D14" s="11" t="s">
        <v>100</v>
      </c>
      <c r="E14" s="11" t="s">
        <v>109</v>
      </c>
      <c r="F14" s="11" t="s">
        <v>110</v>
      </c>
    </row>
    <row r="15" customFormat="false" ht="23.85" hidden="false" customHeight="false" outlineLevel="0" collapsed="false">
      <c r="A15" s="26" t="s">
        <v>73</v>
      </c>
      <c r="B15" s="29" t="s">
        <v>111</v>
      </c>
      <c r="C15" s="30" t="s">
        <v>112</v>
      </c>
      <c r="D15" s="13" t="s">
        <v>113</v>
      </c>
      <c r="E15" s="13" t="s">
        <v>114</v>
      </c>
      <c r="F15" s="13" t="s">
        <v>115</v>
      </c>
    </row>
    <row r="16" customFormat="false" ht="23.85" hidden="false" customHeight="false" outlineLevel="0" collapsed="false">
      <c r="A16" s="26" t="s">
        <v>73</v>
      </c>
      <c r="B16" s="27" t="s">
        <v>116</v>
      </c>
      <c r="C16" s="28" t="s">
        <v>117</v>
      </c>
      <c r="D16" s="11" t="s">
        <v>118</v>
      </c>
      <c r="E16" s="11" t="s">
        <v>119</v>
      </c>
      <c r="F16" s="11" t="s">
        <v>120</v>
      </c>
    </row>
    <row r="17" customFormat="false" ht="23.85" hidden="false" customHeight="false" outlineLevel="0" collapsed="false">
      <c r="A17" s="26" t="s">
        <v>73</v>
      </c>
      <c r="B17" s="29" t="s">
        <v>121</v>
      </c>
      <c r="C17" s="30" t="s">
        <v>122</v>
      </c>
      <c r="D17" s="13" t="s">
        <v>123</v>
      </c>
      <c r="E17" s="13" t="s">
        <v>124</v>
      </c>
      <c r="F17" s="13" t="s">
        <v>125</v>
      </c>
    </row>
    <row r="18" customFormat="false" ht="23.85" hidden="false" customHeight="false" outlineLevel="0" collapsed="false">
      <c r="A18" s="26" t="s">
        <v>73</v>
      </c>
      <c r="B18" s="27" t="s">
        <v>126</v>
      </c>
      <c r="C18" s="28" t="s">
        <v>127</v>
      </c>
      <c r="D18" s="11" t="s">
        <v>123</v>
      </c>
      <c r="E18" s="11" t="s">
        <v>128</v>
      </c>
      <c r="F18" s="11" t="s">
        <v>129</v>
      </c>
    </row>
    <row r="19" customFormat="false" ht="23.85" hidden="false" customHeight="false" outlineLevel="0" collapsed="false">
      <c r="A19" s="26" t="s">
        <v>73</v>
      </c>
      <c r="B19" s="29" t="s">
        <v>130</v>
      </c>
      <c r="C19" s="30" t="s">
        <v>131</v>
      </c>
      <c r="D19" s="13" t="s">
        <v>132</v>
      </c>
      <c r="E19" s="13" t="s">
        <v>133</v>
      </c>
      <c r="F19" s="13" t="s">
        <v>134</v>
      </c>
    </row>
    <row r="20" customFormat="false" ht="15" hidden="false" customHeight="false" outlineLevel="0" collapsed="false">
      <c r="A20" s="31" t="s">
        <v>77</v>
      </c>
      <c r="B20" s="27" t="s">
        <v>135</v>
      </c>
      <c r="C20" s="28" t="s">
        <v>136</v>
      </c>
      <c r="D20" s="11" t="s">
        <v>132</v>
      </c>
      <c r="E20" s="11" t="s">
        <v>137</v>
      </c>
      <c r="F20" s="11" t="s">
        <v>138</v>
      </c>
    </row>
    <row r="21" customFormat="false" ht="15" hidden="false" customHeight="false" outlineLevel="0" collapsed="false">
      <c r="A21" s="31" t="s">
        <v>77</v>
      </c>
      <c r="B21" s="29" t="s">
        <v>139</v>
      </c>
      <c r="C21" s="30" t="s">
        <v>140</v>
      </c>
      <c r="D21" s="13" t="s">
        <v>132</v>
      </c>
      <c r="E21" s="13" t="s">
        <v>141</v>
      </c>
      <c r="F21" s="13" t="s">
        <v>142</v>
      </c>
    </row>
    <row r="22" customFormat="false" ht="23.85" hidden="false" customHeight="false" outlineLevel="0" collapsed="false">
      <c r="A22" s="31" t="s">
        <v>77</v>
      </c>
      <c r="B22" s="27" t="s">
        <v>143</v>
      </c>
      <c r="C22" s="28" t="s">
        <v>144</v>
      </c>
      <c r="D22" s="11" t="s">
        <v>132</v>
      </c>
      <c r="E22" s="11" t="s">
        <v>145</v>
      </c>
      <c r="F22" s="11" t="s">
        <v>146</v>
      </c>
    </row>
    <row r="23" customFormat="false" ht="23.85" hidden="false" customHeight="false" outlineLevel="0" collapsed="false">
      <c r="A23" s="31" t="s">
        <v>77</v>
      </c>
      <c r="B23" s="29" t="s">
        <v>147</v>
      </c>
      <c r="C23" s="30" t="s">
        <v>148</v>
      </c>
      <c r="D23" s="13" t="s">
        <v>123</v>
      </c>
      <c r="E23" s="13" t="s">
        <v>149</v>
      </c>
      <c r="F23" s="13" t="s">
        <v>150</v>
      </c>
    </row>
    <row r="24" customFormat="false" ht="23.85" hidden="false" customHeight="false" outlineLevel="0" collapsed="false">
      <c r="A24" s="31" t="s">
        <v>77</v>
      </c>
      <c r="B24" s="27" t="s">
        <v>151</v>
      </c>
      <c r="C24" s="28" t="s">
        <v>152</v>
      </c>
      <c r="D24" s="11" t="s">
        <v>123</v>
      </c>
      <c r="E24" s="11" t="s">
        <v>153</v>
      </c>
      <c r="F24" s="11" t="s">
        <v>154</v>
      </c>
    </row>
    <row r="25" customFormat="false" ht="23.85" hidden="false" customHeight="false" outlineLevel="0" collapsed="false">
      <c r="A25" s="31" t="s">
        <v>77</v>
      </c>
      <c r="B25" s="29" t="s">
        <v>155</v>
      </c>
      <c r="C25" s="30" t="s">
        <v>156</v>
      </c>
      <c r="D25" s="13" t="s">
        <v>100</v>
      </c>
      <c r="E25" s="13" t="s">
        <v>157</v>
      </c>
      <c r="F25" s="13" t="s">
        <v>158</v>
      </c>
    </row>
    <row r="26" customFormat="false" ht="23.85" hidden="false" customHeight="false" outlineLevel="0" collapsed="false">
      <c r="A26" s="31" t="s">
        <v>77</v>
      </c>
      <c r="B26" s="27" t="s">
        <v>159</v>
      </c>
      <c r="C26" s="28" t="s">
        <v>160</v>
      </c>
      <c r="D26" s="11" t="s">
        <v>100</v>
      </c>
      <c r="E26" s="11" t="s">
        <v>161</v>
      </c>
      <c r="F26" s="11" t="s">
        <v>162</v>
      </c>
    </row>
    <row r="27" customFormat="false" ht="23.85" hidden="false" customHeight="false" outlineLevel="0" collapsed="false">
      <c r="A27" s="31" t="s">
        <v>77</v>
      </c>
      <c r="B27" s="29" t="s">
        <v>163</v>
      </c>
      <c r="C27" s="30" t="s">
        <v>164</v>
      </c>
      <c r="D27" s="13" t="s">
        <v>39</v>
      </c>
      <c r="E27" s="13" t="s">
        <v>165</v>
      </c>
      <c r="F27" s="13" t="s">
        <v>166</v>
      </c>
    </row>
    <row r="28" customFormat="false" ht="23.85" hidden="false" customHeight="false" outlineLevel="0" collapsed="false">
      <c r="A28" s="31" t="s">
        <v>77</v>
      </c>
      <c r="B28" s="27" t="s">
        <v>167</v>
      </c>
      <c r="C28" s="28" t="s">
        <v>168</v>
      </c>
      <c r="D28" s="11" t="s">
        <v>169</v>
      </c>
      <c r="E28" s="11" t="s">
        <v>170</v>
      </c>
      <c r="F28" s="11" t="s">
        <v>171</v>
      </c>
    </row>
    <row r="29" customFormat="false" ht="15" hidden="false" customHeight="false" outlineLevel="0" collapsed="false">
      <c r="A29" s="31" t="s">
        <v>77</v>
      </c>
      <c r="B29" s="29" t="s">
        <v>172</v>
      </c>
      <c r="C29" s="30" t="s">
        <v>173</v>
      </c>
      <c r="D29" s="13" t="s">
        <v>174</v>
      </c>
      <c r="E29" s="13" t="s">
        <v>175</v>
      </c>
      <c r="F29" s="13" t="s">
        <v>176</v>
      </c>
    </row>
    <row r="30" customFormat="false" ht="23.85" hidden="false" customHeight="false" outlineLevel="0" collapsed="false">
      <c r="A30" s="31" t="s">
        <v>77</v>
      </c>
      <c r="B30" s="27" t="s">
        <v>177</v>
      </c>
      <c r="C30" s="28" t="s">
        <v>178</v>
      </c>
      <c r="D30" s="11" t="s">
        <v>174</v>
      </c>
      <c r="E30" s="11" t="s">
        <v>179</v>
      </c>
      <c r="F30" s="11" t="s">
        <v>180</v>
      </c>
    </row>
    <row r="31" customFormat="false" ht="23.85" hidden="false" customHeight="false" outlineLevel="0" collapsed="false">
      <c r="A31" s="31" t="s">
        <v>77</v>
      </c>
      <c r="B31" s="29" t="s">
        <v>181</v>
      </c>
      <c r="C31" s="30" t="s">
        <v>182</v>
      </c>
      <c r="D31" s="13" t="s">
        <v>174</v>
      </c>
      <c r="E31" s="13" t="s">
        <v>183</v>
      </c>
      <c r="F31" s="13" t="s">
        <v>184</v>
      </c>
    </row>
    <row r="32" customFormat="false" ht="15" hidden="false" customHeight="false" outlineLevel="0" collapsed="false">
      <c r="A32" s="31" t="s">
        <v>77</v>
      </c>
      <c r="B32" s="27" t="s">
        <v>185</v>
      </c>
      <c r="C32" s="28" t="s">
        <v>186</v>
      </c>
      <c r="D32" s="11" t="s">
        <v>118</v>
      </c>
      <c r="E32" s="11" t="s">
        <v>187</v>
      </c>
      <c r="F32" s="11" t="s">
        <v>188</v>
      </c>
    </row>
    <row r="33" customFormat="false" ht="23.85" hidden="false" customHeight="false" outlineLevel="0" collapsed="false">
      <c r="A33" s="31" t="s">
        <v>77</v>
      </c>
      <c r="B33" s="29" t="s">
        <v>189</v>
      </c>
      <c r="C33" s="30" t="s">
        <v>190</v>
      </c>
      <c r="D33" s="13" t="s">
        <v>191</v>
      </c>
      <c r="E33" s="13" t="s">
        <v>192</v>
      </c>
      <c r="F33" s="13" t="s">
        <v>193</v>
      </c>
    </row>
    <row r="34" customFormat="false" ht="15" hidden="false" customHeight="false" outlineLevel="0" collapsed="false">
      <c r="A34" s="32" t="s">
        <v>81</v>
      </c>
      <c r="B34" s="27" t="s">
        <v>194</v>
      </c>
      <c r="C34" s="28" t="s">
        <v>195</v>
      </c>
      <c r="D34" s="11" t="s">
        <v>91</v>
      </c>
      <c r="E34" s="11" t="s">
        <v>196</v>
      </c>
      <c r="F34" s="11" t="s">
        <v>197</v>
      </c>
    </row>
    <row r="35" customFormat="false" ht="15" hidden="false" customHeight="false" outlineLevel="0" collapsed="false">
      <c r="A35" s="32" t="s">
        <v>81</v>
      </c>
      <c r="B35" s="29" t="s">
        <v>198</v>
      </c>
      <c r="C35" s="30" t="s">
        <v>199</v>
      </c>
      <c r="D35" s="13" t="s">
        <v>91</v>
      </c>
      <c r="E35" s="13" t="s">
        <v>200</v>
      </c>
      <c r="F35" s="13" t="s">
        <v>201</v>
      </c>
    </row>
    <row r="36" customFormat="false" ht="15" hidden="false" customHeight="false" outlineLevel="0" collapsed="false">
      <c r="A36" s="32" t="s">
        <v>81</v>
      </c>
      <c r="B36" s="27" t="s">
        <v>202</v>
      </c>
      <c r="C36" s="28" t="s">
        <v>203</v>
      </c>
      <c r="D36" s="11" t="s">
        <v>91</v>
      </c>
      <c r="E36" s="11" t="s">
        <v>204</v>
      </c>
      <c r="F36" s="11" t="s">
        <v>205</v>
      </c>
    </row>
    <row r="37" customFormat="false" ht="23.85" hidden="false" customHeight="false" outlineLevel="0" collapsed="false">
      <c r="A37" s="32" t="s">
        <v>81</v>
      </c>
      <c r="B37" s="29" t="s">
        <v>206</v>
      </c>
      <c r="C37" s="30" t="s">
        <v>207</v>
      </c>
      <c r="D37" s="13" t="s">
        <v>118</v>
      </c>
      <c r="E37" s="13" t="s">
        <v>208</v>
      </c>
      <c r="F37" s="13" t="s">
        <v>209</v>
      </c>
    </row>
    <row r="38" customFormat="false" ht="23.85" hidden="false" customHeight="false" outlineLevel="0" collapsed="false">
      <c r="A38" s="32" t="s">
        <v>81</v>
      </c>
      <c r="B38" s="27" t="s">
        <v>210</v>
      </c>
      <c r="C38" s="28" t="s">
        <v>211</v>
      </c>
      <c r="D38" s="11" t="s">
        <v>118</v>
      </c>
      <c r="E38" s="11" t="s">
        <v>212</v>
      </c>
      <c r="F38" s="11" t="s">
        <v>213</v>
      </c>
    </row>
    <row r="39" customFormat="false" ht="23.85" hidden="false" customHeight="false" outlineLevel="0" collapsed="false">
      <c r="A39" s="32" t="s">
        <v>81</v>
      </c>
      <c r="B39" s="29" t="s">
        <v>214</v>
      </c>
      <c r="C39" s="30" t="s">
        <v>215</v>
      </c>
      <c r="D39" s="13" t="s">
        <v>118</v>
      </c>
      <c r="E39" s="13" t="s">
        <v>216</v>
      </c>
      <c r="F39" s="13" t="s">
        <v>217</v>
      </c>
    </row>
    <row r="40" customFormat="false" ht="23.85" hidden="false" customHeight="false" outlineLevel="0" collapsed="false">
      <c r="A40" s="32" t="s">
        <v>81</v>
      </c>
      <c r="B40" s="27" t="s">
        <v>218</v>
      </c>
      <c r="C40" s="28" t="s">
        <v>219</v>
      </c>
      <c r="D40" s="11" t="s">
        <v>118</v>
      </c>
      <c r="E40" s="11" t="s">
        <v>220</v>
      </c>
      <c r="F40" s="11" t="s">
        <v>221</v>
      </c>
    </row>
    <row r="41" customFormat="false" ht="23.85" hidden="false" customHeight="false" outlineLevel="0" collapsed="false">
      <c r="A41" s="32" t="s">
        <v>81</v>
      </c>
      <c r="B41" s="29" t="s">
        <v>222</v>
      </c>
      <c r="C41" s="30" t="s">
        <v>223</v>
      </c>
      <c r="D41" s="13" t="s">
        <v>169</v>
      </c>
      <c r="E41" s="13" t="s">
        <v>224</v>
      </c>
      <c r="F41" s="13" t="s">
        <v>225</v>
      </c>
    </row>
    <row r="42" customFormat="false" ht="15" hidden="false" customHeight="false" outlineLevel="0" collapsed="false">
      <c r="A42" s="32" t="s">
        <v>81</v>
      </c>
      <c r="B42" s="27" t="s">
        <v>226</v>
      </c>
      <c r="C42" s="28" t="s">
        <v>227</v>
      </c>
      <c r="D42" s="11" t="s">
        <v>169</v>
      </c>
      <c r="E42" s="11" t="s">
        <v>228</v>
      </c>
      <c r="F42" s="11" t="s">
        <v>229</v>
      </c>
    </row>
    <row r="43" customFormat="false" ht="15" hidden="false" customHeight="false" outlineLevel="0" collapsed="false">
      <c r="A43" s="32" t="s">
        <v>81</v>
      </c>
      <c r="B43" s="29" t="s">
        <v>230</v>
      </c>
      <c r="C43" s="30" t="s">
        <v>231</v>
      </c>
      <c r="D43" s="13" t="s">
        <v>191</v>
      </c>
      <c r="E43" s="13" t="s">
        <v>232</v>
      </c>
      <c r="F43" s="13" t="s">
        <v>233</v>
      </c>
    </row>
    <row r="44" customFormat="false" ht="23.85" hidden="false" customHeight="false" outlineLevel="0" collapsed="false">
      <c r="A44" s="32" t="s">
        <v>81</v>
      </c>
      <c r="B44" s="27" t="s">
        <v>234</v>
      </c>
      <c r="C44" s="28" t="s">
        <v>235</v>
      </c>
      <c r="D44" s="11" t="s">
        <v>100</v>
      </c>
      <c r="E44" s="11" t="s">
        <v>236</v>
      </c>
      <c r="F44" s="11" t="s">
        <v>237</v>
      </c>
    </row>
    <row r="45" customFormat="false" ht="15" hidden="false" customHeight="false" outlineLevel="0" collapsed="false">
      <c r="A45" s="32" t="s">
        <v>81</v>
      </c>
      <c r="B45" s="29" t="s">
        <v>238</v>
      </c>
      <c r="C45" s="30" t="s">
        <v>239</v>
      </c>
      <c r="D45" s="13" t="s">
        <v>132</v>
      </c>
      <c r="E45" s="13" t="s">
        <v>240</v>
      </c>
      <c r="F45" s="13" t="s">
        <v>241</v>
      </c>
    </row>
    <row r="46" customFormat="false" ht="23.85" hidden="false" customHeight="false" outlineLevel="0" collapsed="false">
      <c r="A46" s="32" t="s">
        <v>81</v>
      </c>
      <c r="B46" s="27" t="s">
        <v>242</v>
      </c>
      <c r="C46" s="28" t="s">
        <v>243</v>
      </c>
      <c r="D46" s="11" t="s">
        <v>174</v>
      </c>
      <c r="E46" s="11" t="s">
        <v>244</v>
      </c>
      <c r="F46" s="11" t="s">
        <v>245</v>
      </c>
    </row>
    <row r="47" customFormat="false" ht="23.85" hidden="false" customHeight="false" outlineLevel="0" collapsed="false">
      <c r="A47" s="32" t="s">
        <v>81</v>
      </c>
      <c r="B47" s="29" t="s">
        <v>246</v>
      </c>
      <c r="C47" s="30" t="s">
        <v>247</v>
      </c>
      <c r="D47" s="13" t="s">
        <v>248</v>
      </c>
      <c r="E47" s="13" t="s">
        <v>249</v>
      </c>
      <c r="F47" s="13" t="s">
        <v>250</v>
      </c>
    </row>
    <row r="48" customFormat="false" ht="15" hidden="false" customHeight="false" outlineLevel="0" collapsed="false">
      <c r="A48" s="32" t="s">
        <v>81</v>
      </c>
      <c r="B48" s="27" t="s">
        <v>251</v>
      </c>
      <c r="C48" s="28" t="s">
        <v>252</v>
      </c>
      <c r="D48" s="11" t="s">
        <v>253</v>
      </c>
      <c r="E48" s="11" t="s">
        <v>254</v>
      </c>
      <c r="F48" s="11" t="s">
        <v>255</v>
      </c>
    </row>
    <row r="50" customFormat="false" ht="15" hidden="false" customHeight="false" outlineLevel="0" collapsed="false">
      <c r="B50" s="33" t="s">
        <v>256</v>
      </c>
      <c r="C50" s="33" t="n">
        <f aca="false">COUNTA(C10:C48)</f>
        <v>39</v>
      </c>
      <c r="D50" s="33" t="s">
        <v>257</v>
      </c>
      <c r="E50" s="33" t="n">
        <f aca="false">COUNTIF(A10:A48,"Tier 1")</f>
        <v>10</v>
      </c>
      <c r="F50" s="33" t="str">
        <f aca="false">COUNTIF(A10:A48,"Tier 2") &amp; " Tier 2 / " &amp; COUNTIF(A10:A48,"Tier 3") &amp; " Tier 3"</f>
        <v>14 Tier 2 / 15 Tier 3</v>
      </c>
    </row>
  </sheetData>
  <autoFilter ref="A9:F48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32"/>
    <col collapsed="false" customWidth="true" hidden="false" outlineLevel="0" max="3" min="3" style="1" width="28"/>
    <col collapsed="false" customWidth="true" hidden="false" outlineLevel="0" max="4" min="4" style="1" width="56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44"/>
  </cols>
  <sheetData>
    <row r="1" customFormat="false" ht="30" hidden="false" customHeight="true" outlineLevel="0" collapsed="false">
      <c r="A1" s="10" t="s">
        <v>32</v>
      </c>
      <c r="B1" s="10" t="s">
        <v>258</v>
      </c>
      <c r="C1" s="10" t="s">
        <v>259</v>
      </c>
      <c r="D1" s="10" t="s">
        <v>260</v>
      </c>
      <c r="E1" s="10" t="s">
        <v>261</v>
      </c>
      <c r="F1" s="10" t="s">
        <v>262</v>
      </c>
      <c r="G1" s="10" t="s">
        <v>18</v>
      </c>
    </row>
    <row r="2" customFormat="false" ht="15" hidden="false" customHeight="true" outlineLevel="0" collapsed="false">
      <c r="A2" s="12" t="s">
        <v>263</v>
      </c>
      <c r="B2" s="11" t="s">
        <v>37</v>
      </c>
      <c r="C2" s="11" t="s">
        <v>264</v>
      </c>
      <c r="D2" s="11" t="s">
        <v>265</v>
      </c>
      <c r="E2" s="34" t="s">
        <v>266</v>
      </c>
      <c r="F2" s="11"/>
      <c r="G2" s="11"/>
    </row>
    <row r="3" customFormat="false" ht="15" hidden="false" customHeight="true" outlineLevel="0" collapsed="false">
      <c r="A3" s="13" t="s">
        <v>263</v>
      </c>
      <c r="B3" s="13" t="s">
        <v>37</v>
      </c>
      <c r="C3" s="13" t="s">
        <v>264</v>
      </c>
      <c r="D3" s="13" t="s">
        <v>267</v>
      </c>
      <c r="E3" s="35" t="s">
        <v>266</v>
      </c>
      <c r="F3" s="13"/>
      <c r="G3" s="13"/>
    </row>
    <row r="4" customFormat="false" ht="15" hidden="false" customHeight="true" outlineLevel="0" collapsed="false">
      <c r="A4" s="11" t="s">
        <v>263</v>
      </c>
      <c r="B4" s="11" t="s">
        <v>37</v>
      </c>
      <c r="C4" s="11" t="s">
        <v>264</v>
      </c>
      <c r="D4" s="11" t="s">
        <v>268</v>
      </c>
      <c r="E4" s="34" t="s">
        <v>266</v>
      </c>
      <c r="F4" s="11"/>
      <c r="G4" s="11"/>
    </row>
    <row r="5" customFormat="false" ht="15" hidden="false" customHeight="true" outlineLevel="0" collapsed="false">
      <c r="A5" s="13" t="s">
        <v>263</v>
      </c>
      <c r="B5" s="13" t="s">
        <v>37</v>
      </c>
      <c r="C5" s="13" t="s">
        <v>264</v>
      </c>
      <c r="D5" s="13" t="s">
        <v>269</v>
      </c>
      <c r="E5" s="35" t="s">
        <v>266</v>
      </c>
      <c r="F5" s="13"/>
      <c r="G5" s="13"/>
    </row>
    <row r="6" customFormat="false" ht="15" hidden="false" customHeight="true" outlineLevel="0" collapsed="false">
      <c r="A6" s="11" t="s">
        <v>263</v>
      </c>
      <c r="B6" s="11" t="s">
        <v>37</v>
      </c>
      <c r="C6" s="11" t="s">
        <v>264</v>
      </c>
      <c r="D6" s="11" t="s">
        <v>270</v>
      </c>
      <c r="E6" s="34" t="s">
        <v>266</v>
      </c>
      <c r="F6" s="11"/>
      <c r="G6" s="11" t="s">
        <v>271</v>
      </c>
    </row>
    <row r="7" customFormat="false" ht="15" hidden="false" customHeight="true" outlineLevel="0" collapsed="false">
      <c r="A7" s="13" t="s">
        <v>263</v>
      </c>
      <c r="B7" s="13" t="s">
        <v>37</v>
      </c>
      <c r="C7" s="13" t="s">
        <v>264</v>
      </c>
      <c r="D7" s="13" t="s">
        <v>272</v>
      </c>
      <c r="E7" s="35" t="s">
        <v>266</v>
      </c>
      <c r="F7" s="13"/>
      <c r="G7" s="13"/>
    </row>
    <row r="8" customFormat="false" ht="23.25" hidden="false" customHeight="true" outlineLevel="0" collapsed="false">
      <c r="A8" s="11" t="s">
        <v>263</v>
      </c>
      <c r="B8" s="11" t="s">
        <v>37</v>
      </c>
      <c r="C8" s="11" t="s">
        <v>273</v>
      </c>
      <c r="D8" s="11" t="s">
        <v>274</v>
      </c>
      <c r="E8" s="34" t="s">
        <v>266</v>
      </c>
      <c r="F8" s="11"/>
      <c r="G8" s="11"/>
    </row>
    <row r="9" customFormat="false" ht="23.25" hidden="false" customHeight="true" outlineLevel="0" collapsed="false">
      <c r="A9" s="13" t="s">
        <v>263</v>
      </c>
      <c r="B9" s="13" t="s">
        <v>37</v>
      </c>
      <c r="C9" s="13" t="s">
        <v>273</v>
      </c>
      <c r="D9" s="13" t="s">
        <v>275</v>
      </c>
      <c r="E9" s="35" t="s">
        <v>266</v>
      </c>
      <c r="F9" s="13"/>
      <c r="G9" s="13"/>
    </row>
    <row r="10" customFormat="false" ht="23.25" hidden="false" customHeight="true" outlineLevel="0" collapsed="false">
      <c r="A10" s="11" t="s">
        <v>263</v>
      </c>
      <c r="B10" s="11" t="s">
        <v>37</v>
      </c>
      <c r="C10" s="11" t="s">
        <v>273</v>
      </c>
      <c r="D10" s="11" t="s">
        <v>276</v>
      </c>
      <c r="E10" s="34" t="s">
        <v>266</v>
      </c>
      <c r="F10" s="11"/>
      <c r="G10" s="11"/>
    </row>
    <row r="11" customFormat="false" ht="23.25" hidden="false" customHeight="true" outlineLevel="0" collapsed="false">
      <c r="A11" s="13" t="s">
        <v>263</v>
      </c>
      <c r="B11" s="13" t="s">
        <v>37</v>
      </c>
      <c r="C11" s="13" t="s">
        <v>273</v>
      </c>
      <c r="D11" s="13" t="s">
        <v>277</v>
      </c>
      <c r="E11" s="35" t="s">
        <v>266</v>
      </c>
      <c r="F11" s="13"/>
      <c r="G11" s="13"/>
    </row>
    <row r="12" customFormat="false" ht="23.25" hidden="false" customHeight="true" outlineLevel="0" collapsed="false">
      <c r="A12" s="11" t="s">
        <v>263</v>
      </c>
      <c r="B12" s="11" t="s">
        <v>37</v>
      </c>
      <c r="C12" s="11" t="s">
        <v>273</v>
      </c>
      <c r="D12" s="11" t="s">
        <v>278</v>
      </c>
      <c r="E12" s="34" t="s">
        <v>266</v>
      </c>
      <c r="F12" s="11"/>
      <c r="G12" s="11" t="s">
        <v>279</v>
      </c>
    </row>
    <row r="13" customFormat="false" ht="23.25" hidden="false" customHeight="true" outlineLevel="0" collapsed="false">
      <c r="A13" s="13" t="s">
        <v>263</v>
      </c>
      <c r="B13" s="13" t="s">
        <v>37</v>
      </c>
      <c r="C13" s="13" t="s">
        <v>273</v>
      </c>
      <c r="D13" s="13" t="s">
        <v>280</v>
      </c>
      <c r="E13" s="35" t="s">
        <v>266</v>
      </c>
      <c r="F13" s="13"/>
      <c r="G13" s="13"/>
    </row>
    <row r="14" customFormat="false" ht="23.25" hidden="false" customHeight="true" outlineLevel="0" collapsed="false">
      <c r="A14" s="11" t="s">
        <v>263</v>
      </c>
      <c r="B14" s="11" t="s">
        <v>37</v>
      </c>
      <c r="C14" s="11" t="s">
        <v>273</v>
      </c>
      <c r="D14" s="11" t="s">
        <v>281</v>
      </c>
      <c r="E14" s="34" t="s">
        <v>266</v>
      </c>
      <c r="F14" s="11"/>
      <c r="G14" s="11"/>
    </row>
    <row r="15" customFormat="false" ht="23.25" hidden="false" customHeight="true" outlineLevel="0" collapsed="false">
      <c r="A15" s="13" t="s">
        <v>263</v>
      </c>
      <c r="B15" s="13" t="s">
        <v>37</v>
      </c>
      <c r="C15" s="13" t="s">
        <v>273</v>
      </c>
      <c r="D15" s="13" t="s">
        <v>282</v>
      </c>
      <c r="E15" s="35" t="s">
        <v>266</v>
      </c>
      <c r="F15" s="13"/>
      <c r="G15" s="13"/>
    </row>
    <row r="16" customFormat="false" ht="23.25" hidden="false" customHeight="true" outlineLevel="0" collapsed="false">
      <c r="A16" s="11" t="s">
        <v>263</v>
      </c>
      <c r="B16" s="11" t="s">
        <v>37</v>
      </c>
      <c r="C16" s="11" t="s">
        <v>273</v>
      </c>
      <c r="D16" s="11" t="s">
        <v>283</v>
      </c>
      <c r="E16" s="34" t="s">
        <v>266</v>
      </c>
      <c r="F16" s="11"/>
      <c r="G16" s="11"/>
    </row>
    <row r="17" customFormat="false" ht="23.25" hidden="false" customHeight="true" outlineLevel="0" collapsed="false">
      <c r="A17" s="13" t="s">
        <v>263</v>
      </c>
      <c r="B17" s="13" t="s">
        <v>37</v>
      </c>
      <c r="C17" s="13" t="s">
        <v>273</v>
      </c>
      <c r="D17" s="13" t="s">
        <v>284</v>
      </c>
      <c r="E17" s="35" t="s">
        <v>266</v>
      </c>
      <c r="F17" s="13"/>
      <c r="G17" s="13"/>
    </row>
    <row r="18" customFormat="false" ht="23.25" hidden="false" customHeight="true" outlineLevel="0" collapsed="false">
      <c r="A18" s="11" t="s">
        <v>263</v>
      </c>
      <c r="B18" s="11" t="s">
        <v>37</v>
      </c>
      <c r="C18" s="11" t="s">
        <v>273</v>
      </c>
      <c r="D18" s="11" t="s">
        <v>285</v>
      </c>
      <c r="E18" s="34" t="s">
        <v>266</v>
      </c>
      <c r="F18" s="11"/>
      <c r="G18" s="11" t="s">
        <v>286</v>
      </c>
    </row>
    <row r="19" customFormat="false" ht="23.25" hidden="false" customHeight="true" outlineLevel="0" collapsed="false">
      <c r="A19" s="13" t="s">
        <v>263</v>
      </c>
      <c r="B19" s="13" t="s">
        <v>37</v>
      </c>
      <c r="C19" s="13" t="s">
        <v>273</v>
      </c>
      <c r="D19" s="13" t="s">
        <v>287</v>
      </c>
      <c r="E19" s="35" t="s">
        <v>266</v>
      </c>
      <c r="F19" s="13"/>
      <c r="G19" s="13"/>
    </row>
    <row r="20" customFormat="false" ht="23.25" hidden="false" customHeight="true" outlineLevel="0" collapsed="false">
      <c r="A20" s="11" t="s">
        <v>263</v>
      </c>
      <c r="B20" s="11" t="s">
        <v>37</v>
      </c>
      <c r="C20" s="11" t="s">
        <v>273</v>
      </c>
      <c r="D20" s="11" t="s">
        <v>288</v>
      </c>
      <c r="E20" s="34" t="s">
        <v>266</v>
      </c>
      <c r="F20" s="11"/>
      <c r="G20" s="11" t="s">
        <v>289</v>
      </c>
    </row>
    <row r="21" customFormat="false" ht="23.25" hidden="false" customHeight="true" outlineLevel="0" collapsed="false">
      <c r="A21" s="13" t="s">
        <v>263</v>
      </c>
      <c r="B21" s="13" t="s">
        <v>37</v>
      </c>
      <c r="C21" s="13" t="s">
        <v>273</v>
      </c>
      <c r="D21" s="13" t="s">
        <v>290</v>
      </c>
      <c r="E21" s="35" t="s">
        <v>266</v>
      </c>
      <c r="F21" s="13"/>
      <c r="G21" s="13"/>
    </row>
    <row r="22" customFormat="false" ht="23.25" hidden="false" customHeight="true" outlineLevel="0" collapsed="false">
      <c r="A22" s="11" t="s">
        <v>263</v>
      </c>
      <c r="B22" s="11" t="s">
        <v>37</v>
      </c>
      <c r="C22" s="11" t="s">
        <v>273</v>
      </c>
      <c r="D22" s="11" t="s">
        <v>291</v>
      </c>
      <c r="E22" s="34" t="s">
        <v>266</v>
      </c>
      <c r="F22" s="11"/>
      <c r="G22" s="11" t="s">
        <v>292</v>
      </c>
    </row>
    <row r="23" customFormat="false" ht="23.25" hidden="false" customHeight="true" outlineLevel="0" collapsed="false">
      <c r="A23" s="13" t="s">
        <v>263</v>
      </c>
      <c r="B23" s="13" t="s">
        <v>37</v>
      </c>
      <c r="C23" s="13" t="s">
        <v>273</v>
      </c>
      <c r="D23" s="13" t="s">
        <v>293</v>
      </c>
      <c r="E23" s="35" t="s">
        <v>266</v>
      </c>
      <c r="F23" s="13"/>
      <c r="G23" s="13"/>
    </row>
    <row r="24" customFormat="false" ht="15" hidden="false" customHeight="true" outlineLevel="0" collapsed="false">
      <c r="A24" s="11" t="s">
        <v>263</v>
      </c>
      <c r="B24" s="11" t="s">
        <v>294</v>
      </c>
      <c r="C24" s="11"/>
      <c r="D24" s="11" t="s">
        <v>295</v>
      </c>
      <c r="E24" s="34" t="s">
        <v>296</v>
      </c>
      <c r="F24" s="11"/>
      <c r="G24" s="11"/>
    </row>
    <row r="25" customFormat="false" ht="15" hidden="false" customHeight="true" outlineLevel="0" collapsed="false">
      <c r="A25" s="13" t="s">
        <v>263</v>
      </c>
      <c r="B25" s="13" t="s">
        <v>294</v>
      </c>
      <c r="C25" s="13"/>
      <c r="D25" s="13" t="s">
        <v>297</v>
      </c>
      <c r="E25" s="35" t="s">
        <v>296</v>
      </c>
      <c r="F25" s="13"/>
      <c r="G25" s="13"/>
    </row>
    <row r="26" customFormat="false" ht="15" hidden="false" customHeight="true" outlineLevel="0" collapsed="false">
      <c r="A26" s="11" t="s">
        <v>263</v>
      </c>
      <c r="B26" s="11" t="s">
        <v>294</v>
      </c>
      <c r="C26" s="11"/>
      <c r="D26" s="11" t="s">
        <v>298</v>
      </c>
      <c r="E26" s="34" t="s">
        <v>296</v>
      </c>
      <c r="F26" s="11"/>
      <c r="G26" s="11"/>
    </row>
    <row r="27" customFormat="false" ht="15" hidden="false" customHeight="true" outlineLevel="0" collapsed="false">
      <c r="A27" s="13" t="s">
        <v>263</v>
      </c>
      <c r="B27" s="13" t="s">
        <v>294</v>
      </c>
      <c r="C27" s="13"/>
      <c r="D27" s="13" t="s">
        <v>299</v>
      </c>
      <c r="E27" s="35" t="s">
        <v>296</v>
      </c>
      <c r="F27" s="13"/>
      <c r="G27" s="13"/>
    </row>
    <row r="28" customFormat="false" ht="15" hidden="false" customHeight="true" outlineLevel="0" collapsed="false">
      <c r="A28" s="11" t="s">
        <v>263</v>
      </c>
      <c r="B28" s="11" t="s">
        <v>294</v>
      </c>
      <c r="C28" s="11"/>
      <c r="D28" s="11" t="s">
        <v>300</v>
      </c>
      <c r="E28" s="34" t="s">
        <v>296</v>
      </c>
      <c r="F28" s="11"/>
      <c r="G28" s="11"/>
    </row>
    <row r="29" customFormat="false" ht="15" hidden="false" customHeight="true" outlineLevel="0" collapsed="false">
      <c r="A29" s="13" t="s">
        <v>263</v>
      </c>
      <c r="B29" s="13" t="s">
        <v>294</v>
      </c>
      <c r="C29" s="13"/>
      <c r="D29" s="13" t="s">
        <v>301</v>
      </c>
      <c r="E29" s="35" t="s">
        <v>296</v>
      </c>
      <c r="F29" s="13"/>
      <c r="G29" s="13"/>
    </row>
    <row r="30" customFormat="false" ht="15" hidden="false" customHeight="true" outlineLevel="0" collapsed="false">
      <c r="A30" s="11" t="s">
        <v>263</v>
      </c>
      <c r="B30" s="11" t="s">
        <v>294</v>
      </c>
      <c r="C30" s="11"/>
      <c r="D30" s="11" t="s">
        <v>302</v>
      </c>
      <c r="E30" s="34" t="s">
        <v>296</v>
      </c>
      <c r="F30" s="11"/>
      <c r="G30" s="11"/>
    </row>
    <row r="31" customFormat="false" ht="15" hidden="false" customHeight="true" outlineLevel="0" collapsed="false">
      <c r="A31" s="13" t="s">
        <v>263</v>
      </c>
      <c r="B31" s="13" t="s">
        <v>41</v>
      </c>
      <c r="C31" s="13" t="s">
        <v>303</v>
      </c>
      <c r="D31" s="13" t="s">
        <v>304</v>
      </c>
      <c r="E31" s="35" t="s">
        <v>305</v>
      </c>
      <c r="F31" s="13"/>
      <c r="G31" s="13" t="s">
        <v>306</v>
      </c>
    </row>
    <row r="32" customFormat="false" ht="15" hidden="false" customHeight="true" outlineLevel="0" collapsed="false">
      <c r="A32" s="11" t="s">
        <v>263</v>
      </c>
      <c r="B32" s="11" t="s">
        <v>41</v>
      </c>
      <c r="C32" s="11" t="s">
        <v>303</v>
      </c>
      <c r="D32" s="11" t="s">
        <v>307</v>
      </c>
      <c r="E32" s="34" t="s">
        <v>305</v>
      </c>
      <c r="F32" s="11"/>
      <c r="G32" s="11"/>
    </row>
    <row r="33" customFormat="false" ht="15" hidden="false" customHeight="true" outlineLevel="0" collapsed="false">
      <c r="A33" s="13" t="s">
        <v>263</v>
      </c>
      <c r="B33" s="13" t="s">
        <v>41</v>
      </c>
      <c r="C33" s="13" t="s">
        <v>303</v>
      </c>
      <c r="D33" s="13" t="s">
        <v>308</v>
      </c>
      <c r="E33" s="35" t="s">
        <v>305</v>
      </c>
      <c r="F33" s="13"/>
      <c r="G33" s="13"/>
    </row>
    <row r="34" customFormat="false" ht="15" hidden="false" customHeight="true" outlineLevel="0" collapsed="false">
      <c r="A34" s="11" t="s">
        <v>263</v>
      </c>
      <c r="B34" s="11" t="s">
        <v>41</v>
      </c>
      <c r="C34" s="11" t="s">
        <v>309</v>
      </c>
      <c r="D34" s="11" t="s">
        <v>310</v>
      </c>
      <c r="E34" s="34" t="s">
        <v>305</v>
      </c>
      <c r="F34" s="11"/>
      <c r="G34" s="11"/>
    </row>
    <row r="35" customFormat="false" ht="15" hidden="false" customHeight="true" outlineLevel="0" collapsed="false">
      <c r="A35" s="13" t="s">
        <v>263</v>
      </c>
      <c r="B35" s="13" t="s">
        <v>41</v>
      </c>
      <c r="C35" s="13" t="s">
        <v>309</v>
      </c>
      <c r="D35" s="13" t="s">
        <v>311</v>
      </c>
      <c r="E35" s="35" t="s">
        <v>305</v>
      </c>
      <c r="F35" s="13"/>
      <c r="G35" s="13"/>
    </row>
    <row r="36" customFormat="false" ht="15" hidden="false" customHeight="true" outlineLevel="0" collapsed="false">
      <c r="A36" s="11" t="s">
        <v>263</v>
      </c>
      <c r="B36" s="11" t="s">
        <v>41</v>
      </c>
      <c r="C36" s="11" t="s">
        <v>309</v>
      </c>
      <c r="D36" s="11" t="s">
        <v>312</v>
      </c>
      <c r="E36" s="34" t="s">
        <v>305</v>
      </c>
      <c r="F36" s="11"/>
      <c r="G36" s="11"/>
    </row>
    <row r="37" customFormat="false" ht="15" hidden="false" customHeight="true" outlineLevel="0" collapsed="false">
      <c r="A37" s="13" t="s">
        <v>263</v>
      </c>
      <c r="B37" s="13" t="s">
        <v>41</v>
      </c>
      <c r="C37" s="13" t="s">
        <v>309</v>
      </c>
      <c r="D37" s="13" t="s">
        <v>313</v>
      </c>
      <c r="E37" s="35" t="s">
        <v>305</v>
      </c>
      <c r="F37" s="13"/>
      <c r="G37" s="13"/>
    </row>
    <row r="38" customFormat="false" ht="15" hidden="false" customHeight="true" outlineLevel="0" collapsed="false">
      <c r="A38" s="11" t="s">
        <v>263</v>
      </c>
      <c r="B38" s="11" t="s">
        <v>41</v>
      </c>
      <c r="C38" s="11" t="s">
        <v>309</v>
      </c>
      <c r="D38" s="11" t="s">
        <v>314</v>
      </c>
      <c r="E38" s="34" t="s">
        <v>305</v>
      </c>
      <c r="F38" s="11"/>
      <c r="G38" s="11"/>
    </row>
    <row r="39" customFormat="false" ht="15" hidden="false" customHeight="true" outlineLevel="0" collapsed="false">
      <c r="A39" s="13" t="s">
        <v>263</v>
      </c>
      <c r="B39" s="13" t="s">
        <v>41</v>
      </c>
      <c r="C39" s="13" t="s">
        <v>309</v>
      </c>
      <c r="D39" s="13" t="s">
        <v>315</v>
      </c>
      <c r="E39" s="35" t="s">
        <v>305</v>
      </c>
      <c r="F39" s="13"/>
      <c r="G39" s="13"/>
    </row>
    <row r="40" customFormat="false" ht="15" hidden="false" customHeight="true" outlineLevel="0" collapsed="false">
      <c r="A40" s="11" t="s">
        <v>263</v>
      </c>
      <c r="B40" s="11" t="s">
        <v>41</v>
      </c>
      <c r="C40" s="11" t="s">
        <v>309</v>
      </c>
      <c r="D40" s="11" t="s">
        <v>316</v>
      </c>
      <c r="E40" s="34" t="s">
        <v>305</v>
      </c>
      <c r="F40" s="11"/>
      <c r="G40" s="11"/>
    </row>
    <row r="41" customFormat="false" ht="23.25" hidden="false" customHeight="true" outlineLevel="0" collapsed="false">
      <c r="A41" s="13" t="s">
        <v>263</v>
      </c>
      <c r="B41" s="13" t="s">
        <v>41</v>
      </c>
      <c r="C41" s="13" t="s">
        <v>309</v>
      </c>
      <c r="D41" s="13" t="s">
        <v>317</v>
      </c>
      <c r="E41" s="35" t="s">
        <v>305</v>
      </c>
      <c r="F41" s="13" t="s">
        <v>318</v>
      </c>
      <c r="G41" s="13" t="s">
        <v>319</v>
      </c>
    </row>
    <row r="42" customFormat="false" ht="15" hidden="false" customHeight="true" outlineLevel="0" collapsed="false">
      <c r="A42" s="11" t="s">
        <v>263</v>
      </c>
      <c r="B42" s="11" t="s">
        <v>41</v>
      </c>
      <c r="C42" s="11" t="s">
        <v>309</v>
      </c>
      <c r="D42" s="11" t="s">
        <v>320</v>
      </c>
      <c r="E42" s="34" t="s">
        <v>305</v>
      </c>
      <c r="F42" s="11"/>
      <c r="G42" s="11"/>
    </row>
    <row r="43" customFormat="false" ht="15" hidden="false" customHeight="true" outlineLevel="0" collapsed="false">
      <c r="A43" s="13" t="s">
        <v>263</v>
      </c>
      <c r="B43" s="13" t="s">
        <v>41</v>
      </c>
      <c r="C43" s="13" t="s">
        <v>309</v>
      </c>
      <c r="D43" s="13" t="s">
        <v>321</v>
      </c>
      <c r="E43" s="35" t="s">
        <v>305</v>
      </c>
      <c r="F43" s="13"/>
      <c r="G43" s="13"/>
    </row>
    <row r="44" customFormat="false" ht="15" hidden="false" customHeight="true" outlineLevel="0" collapsed="false">
      <c r="A44" s="11" t="s">
        <v>263</v>
      </c>
      <c r="B44" s="11" t="s">
        <v>41</v>
      </c>
      <c r="C44" s="11" t="s">
        <v>309</v>
      </c>
      <c r="D44" s="11" t="s">
        <v>322</v>
      </c>
      <c r="E44" s="34" t="s">
        <v>305</v>
      </c>
      <c r="F44" s="11"/>
      <c r="G44" s="11"/>
    </row>
    <row r="45" customFormat="false" ht="15" hidden="false" customHeight="true" outlineLevel="0" collapsed="false">
      <c r="A45" s="13" t="s">
        <v>263</v>
      </c>
      <c r="B45" s="13" t="s">
        <v>41</v>
      </c>
      <c r="C45" s="13" t="s">
        <v>309</v>
      </c>
      <c r="D45" s="13" t="s">
        <v>323</v>
      </c>
      <c r="E45" s="35" t="s">
        <v>305</v>
      </c>
      <c r="F45" s="13"/>
      <c r="G45" s="13"/>
    </row>
    <row r="46" customFormat="false" ht="15" hidden="false" customHeight="true" outlineLevel="0" collapsed="false">
      <c r="A46" s="11" t="s">
        <v>263</v>
      </c>
      <c r="B46" s="11" t="s">
        <v>41</v>
      </c>
      <c r="C46" s="11" t="s">
        <v>309</v>
      </c>
      <c r="D46" s="11" t="s">
        <v>324</v>
      </c>
      <c r="E46" s="34" t="s">
        <v>305</v>
      </c>
      <c r="F46" s="11"/>
      <c r="G46" s="11" t="s">
        <v>325</v>
      </c>
    </row>
    <row r="47" customFormat="false" ht="15" hidden="false" customHeight="true" outlineLevel="0" collapsed="false">
      <c r="A47" s="13" t="s">
        <v>263</v>
      </c>
      <c r="B47" s="13" t="s">
        <v>41</v>
      </c>
      <c r="C47" s="13" t="s">
        <v>326</v>
      </c>
      <c r="D47" s="13" t="s">
        <v>327</v>
      </c>
      <c r="E47" s="35" t="s">
        <v>305</v>
      </c>
      <c r="F47" s="13"/>
      <c r="G47" s="13"/>
    </row>
    <row r="48" customFormat="false" ht="15" hidden="false" customHeight="true" outlineLevel="0" collapsed="false">
      <c r="A48" s="11" t="s">
        <v>263</v>
      </c>
      <c r="B48" s="11" t="s">
        <v>41</v>
      </c>
      <c r="C48" s="11" t="s">
        <v>326</v>
      </c>
      <c r="D48" s="11" t="s">
        <v>328</v>
      </c>
      <c r="E48" s="34" t="s">
        <v>305</v>
      </c>
      <c r="F48" s="11"/>
      <c r="G48" s="11"/>
    </row>
    <row r="49" customFormat="false" ht="15" hidden="false" customHeight="true" outlineLevel="0" collapsed="false">
      <c r="A49" s="13" t="s">
        <v>263</v>
      </c>
      <c r="B49" s="13" t="s">
        <v>329</v>
      </c>
      <c r="C49" s="13"/>
      <c r="D49" s="13" t="s">
        <v>330</v>
      </c>
      <c r="E49" s="35" t="s">
        <v>331</v>
      </c>
      <c r="F49" s="13"/>
      <c r="G49" s="13"/>
    </row>
    <row r="50" customFormat="false" ht="15" hidden="false" customHeight="true" outlineLevel="0" collapsed="false">
      <c r="A50" s="11" t="s">
        <v>263</v>
      </c>
      <c r="B50" s="11" t="s">
        <v>329</v>
      </c>
      <c r="C50" s="11"/>
      <c r="D50" s="11" t="s">
        <v>332</v>
      </c>
      <c r="E50" s="34" t="s">
        <v>331</v>
      </c>
      <c r="F50" s="11"/>
      <c r="G50" s="11"/>
    </row>
    <row r="51" customFormat="false" ht="15" hidden="false" customHeight="true" outlineLevel="0" collapsed="false">
      <c r="A51" s="13" t="s">
        <v>263</v>
      </c>
      <c r="B51" s="13" t="s">
        <v>329</v>
      </c>
      <c r="C51" s="13"/>
      <c r="D51" s="13" t="s">
        <v>333</v>
      </c>
      <c r="E51" s="35" t="s">
        <v>331</v>
      </c>
      <c r="F51" s="13"/>
      <c r="G51" s="13"/>
    </row>
    <row r="52" customFormat="false" ht="15" hidden="false" customHeight="true" outlineLevel="0" collapsed="false">
      <c r="A52" s="11" t="s">
        <v>263</v>
      </c>
      <c r="B52" s="11" t="s">
        <v>329</v>
      </c>
      <c r="C52" s="11"/>
      <c r="D52" s="11" t="s">
        <v>334</v>
      </c>
      <c r="E52" s="34" t="s">
        <v>331</v>
      </c>
      <c r="F52" s="11"/>
      <c r="G52" s="11"/>
    </row>
    <row r="53" customFormat="false" ht="23.25" hidden="false" customHeight="true" outlineLevel="0" collapsed="false">
      <c r="A53" s="13" t="s">
        <v>263</v>
      </c>
      <c r="B53" s="13" t="s">
        <v>329</v>
      </c>
      <c r="C53" s="13"/>
      <c r="D53" s="13" t="s">
        <v>335</v>
      </c>
      <c r="E53" s="35" t="s">
        <v>331</v>
      </c>
      <c r="F53" s="13"/>
      <c r="G53" s="13" t="s">
        <v>336</v>
      </c>
    </row>
    <row r="54" customFormat="false" ht="15" hidden="false" customHeight="true" outlineLevel="0" collapsed="false">
      <c r="A54" s="11" t="s">
        <v>263</v>
      </c>
      <c r="B54" s="11" t="s">
        <v>329</v>
      </c>
      <c r="C54" s="11"/>
      <c r="D54" s="11" t="s">
        <v>337</v>
      </c>
      <c r="E54" s="34" t="s">
        <v>331</v>
      </c>
      <c r="F54" s="11"/>
      <c r="G54" s="11"/>
    </row>
    <row r="55" customFormat="false" ht="15" hidden="false" customHeight="true" outlineLevel="0" collapsed="false">
      <c r="A55" s="13" t="s">
        <v>263</v>
      </c>
      <c r="B55" s="13" t="s">
        <v>329</v>
      </c>
      <c r="C55" s="13"/>
      <c r="D55" s="13" t="s">
        <v>338</v>
      </c>
      <c r="E55" s="35" t="s">
        <v>331</v>
      </c>
      <c r="F55" s="13"/>
      <c r="G55" s="13" t="s">
        <v>339</v>
      </c>
    </row>
    <row r="56" customFormat="false" ht="15" hidden="false" customHeight="true" outlineLevel="0" collapsed="false">
      <c r="A56" s="11" t="s">
        <v>263</v>
      </c>
      <c r="B56" s="11" t="s">
        <v>329</v>
      </c>
      <c r="C56" s="11"/>
      <c r="D56" s="11" t="s">
        <v>340</v>
      </c>
      <c r="E56" s="34" t="s">
        <v>331</v>
      </c>
      <c r="F56" s="11"/>
      <c r="G56" s="11"/>
    </row>
    <row r="57" customFormat="false" ht="15" hidden="false" customHeight="true" outlineLevel="0" collapsed="false">
      <c r="A57" s="13" t="s">
        <v>263</v>
      </c>
      <c r="B57" s="13" t="s">
        <v>329</v>
      </c>
      <c r="C57" s="13"/>
      <c r="D57" s="13" t="s">
        <v>341</v>
      </c>
      <c r="E57" s="35" t="s">
        <v>331</v>
      </c>
      <c r="F57" s="13"/>
      <c r="G57" s="13"/>
    </row>
    <row r="58" customFormat="false" ht="15" hidden="false" customHeight="true" outlineLevel="0" collapsed="false">
      <c r="A58" s="11" t="s">
        <v>263</v>
      </c>
      <c r="B58" s="11" t="s">
        <v>329</v>
      </c>
      <c r="C58" s="11"/>
      <c r="D58" s="11" t="s">
        <v>342</v>
      </c>
      <c r="E58" s="34" t="s">
        <v>331</v>
      </c>
      <c r="F58" s="11"/>
      <c r="G58" s="11"/>
    </row>
    <row r="59" customFormat="false" ht="15" hidden="false" customHeight="true" outlineLevel="0" collapsed="false">
      <c r="A59" s="13" t="s">
        <v>263</v>
      </c>
      <c r="B59" s="13" t="s">
        <v>329</v>
      </c>
      <c r="C59" s="13"/>
      <c r="D59" s="13" t="s">
        <v>343</v>
      </c>
      <c r="E59" s="35" t="s">
        <v>331</v>
      </c>
      <c r="F59" s="13"/>
      <c r="G59" s="13"/>
    </row>
    <row r="60" customFormat="false" ht="15" hidden="false" customHeight="true" outlineLevel="0" collapsed="false">
      <c r="A60" s="11" t="s">
        <v>263</v>
      </c>
      <c r="B60" s="11" t="s">
        <v>344</v>
      </c>
      <c r="C60" s="11" t="s">
        <v>345</v>
      </c>
      <c r="D60" s="11" t="s">
        <v>346</v>
      </c>
      <c r="E60" s="34" t="s">
        <v>347</v>
      </c>
      <c r="F60" s="11" t="s">
        <v>348</v>
      </c>
      <c r="G60" s="11"/>
    </row>
    <row r="61" customFormat="false" ht="15" hidden="false" customHeight="true" outlineLevel="0" collapsed="false">
      <c r="A61" s="13" t="s">
        <v>263</v>
      </c>
      <c r="B61" s="13" t="s">
        <v>344</v>
      </c>
      <c r="C61" s="13" t="s">
        <v>345</v>
      </c>
      <c r="D61" s="13" t="s">
        <v>349</v>
      </c>
      <c r="E61" s="35" t="s">
        <v>347</v>
      </c>
      <c r="F61" s="13" t="s">
        <v>348</v>
      </c>
      <c r="G61" s="13"/>
    </row>
    <row r="62" customFormat="false" ht="15" hidden="false" customHeight="true" outlineLevel="0" collapsed="false">
      <c r="A62" s="11" t="s">
        <v>263</v>
      </c>
      <c r="B62" s="11" t="s">
        <v>344</v>
      </c>
      <c r="C62" s="11" t="s">
        <v>345</v>
      </c>
      <c r="D62" s="11" t="s">
        <v>350</v>
      </c>
      <c r="E62" s="34" t="s">
        <v>347</v>
      </c>
      <c r="F62" s="11" t="s">
        <v>348</v>
      </c>
      <c r="G62" s="11"/>
    </row>
    <row r="63" customFormat="false" ht="15" hidden="false" customHeight="true" outlineLevel="0" collapsed="false">
      <c r="A63" s="13" t="s">
        <v>263</v>
      </c>
      <c r="B63" s="13" t="s">
        <v>344</v>
      </c>
      <c r="C63" s="13" t="s">
        <v>345</v>
      </c>
      <c r="D63" s="13" t="s">
        <v>351</v>
      </c>
      <c r="E63" s="35" t="s">
        <v>347</v>
      </c>
      <c r="F63" s="13" t="s">
        <v>348</v>
      </c>
      <c r="G63" s="13"/>
    </row>
    <row r="64" customFormat="false" ht="15" hidden="false" customHeight="true" outlineLevel="0" collapsed="false">
      <c r="A64" s="11" t="s">
        <v>263</v>
      </c>
      <c r="B64" s="11" t="s">
        <v>344</v>
      </c>
      <c r="C64" s="11" t="s">
        <v>345</v>
      </c>
      <c r="D64" s="11" t="s">
        <v>352</v>
      </c>
      <c r="E64" s="34" t="s">
        <v>347</v>
      </c>
      <c r="F64" s="11" t="s">
        <v>348</v>
      </c>
      <c r="G64" s="11"/>
    </row>
    <row r="65" customFormat="false" ht="15" hidden="false" customHeight="true" outlineLevel="0" collapsed="false">
      <c r="A65" s="13" t="s">
        <v>263</v>
      </c>
      <c r="B65" s="13" t="s">
        <v>344</v>
      </c>
      <c r="C65" s="13" t="s">
        <v>345</v>
      </c>
      <c r="D65" s="13" t="s">
        <v>353</v>
      </c>
      <c r="E65" s="35" t="s">
        <v>347</v>
      </c>
      <c r="F65" s="13" t="s">
        <v>348</v>
      </c>
      <c r="G65" s="13"/>
    </row>
    <row r="66" customFormat="false" ht="15" hidden="false" customHeight="true" outlineLevel="0" collapsed="false">
      <c r="A66" s="11" t="s">
        <v>263</v>
      </c>
      <c r="B66" s="11" t="s">
        <v>344</v>
      </c>
      <c r="C66" s="11" t="s">
        <v>345</v>
      </c>
      <c r="D66" s="11" t="s">
        <v>354</v>
      </c>
      <c r="E66" s="34" t="s">
        <v>347</v>
      </c>
      <c r="F66" s="11" t="s">
        <v>348</v>
      </c>
      <c r="G66" s="11"/>
    </row>
    <row r="67" customFormat="false" ht="23.25" hidden="false" customHeight="true" outlineLevel="0" collapsed="false">
      <c r="A67" s="13" t="s">
        <v>263</v>
      </c>
      <c r="B67" s="13" t="s">
        <v>344</v>
      </c>
      <c r="C67" s="13" t="s">
        <v>345</v>
      </c>
      <c r="D67" s="13" t="s">
        <v>355</v>
      </c>
      <c r="E67" s="35" t="s">
        <v>347</v>
      </c>
      <c r="F67" s="13" t="s">
        <v>348</v>
      </c>
      <c r="G67" s="13"/>
    </row>
    <row r="68" customFormat="false" ht="15" hidden="false" customHeight="true" outlineLevel="0" collapsed="false">
      <c r="A68" s="11" t="s">
        <v>263</v>
      </c>
      <c r="B68" s="11" t="s">
        <v>344</v>
      </c>
      <c r="C68" s="11" t="s">
        <v>345</v>
      </c>
      <c r="D68" s="11" t="s">
        <v>356</v>
      </c>
      <c r="E68" s="34" t="s">
        <v>347</v>
      </c>
      <c r="F68" s="11" t="s">
        <v>348</v>
      </c>
      <c r="G68" s="11"/>
    </row>
    <row r="69" customFormat="false" ht="15" hidden="false" customHeight="true" outlineLevel="0" collapsed="false">
      <c r="A69" s="13" t="s">
        <v>263</v>
      </c>
      <c r="B69" s="13" t="s">
        <v>344</v>
      </c>
      <c r="C69" s="13" t="s">
        <v>345</v>
      </c>
      <c r="D69" s="13" t="s">
        <v>357</v>
      </c>
      <c r="E69" s="35" t="s">
        <v>347</v>
      </c>
      <c r="F69" s="13" t="s">
        <v>348</v>
      </c>
      <c r="G69" s="13" t="s">
        <v>358</v>
      </c>
    </row>
    <row r="70" customFormat="false" ht="15" hidden="false" customHeight="true" outlineLevel="0" collapsed="false">
      <c r="A70" s="11" t="s">
        <v>263</v>
      </c>
      <c r="B70" s="11" t="s">
        <v>344</v>
      </c>
      <c r="C70" s="11" t="s">
        <v>359</v>
      </c>
      <c r="D70" s="11" t="s">
        <v>360</v>
      </c>
      <c r="E70" s="34" t="s">
        <v>347</v>
      </c>
      <c r="F70" s="11" t="s">
        <v>318</v>
      </c>
      <c r="G70" s="11"/>
    </row>
    <row r="71" customFormat="false" ht="15" hidden="false" customHeight="true" outlineLevel="0" collapsed="false">
      <c r="A71" s="13" t="s">
        <v>263</v>
      </c>
      <c r="B71" s="13" t="s">
        <v>344</v>
      </c>
      <c r="C71" s="13" t="s">
        <v>359</v>
      </c>
      <c r="D71" s="13" t="s">
        <v>361</v>
      </c>
      <c r="E71" s="35" t="s">
        <v>347</v>
      </c>
      <c r="F71" s="13" t="s">
        <v>318</v>
      </c>
      <c r="G71" s="13"/>
    </row>
    <row r="72" customFormat="false" ht="15" hidden="false" customHeight="true" outlineLevel="0" collapsed="false">
      <c r="A72" s="11" t="s">
        <v>263</v>
      </c>
      <c r="B72" s="11" t="s">
        <v>344</v>
      </c>
      <c r="C72" s="11" t="s">
        <v>359</v>
      </c>
      <c r="D72" s="11" t="s">
        <v>362</v>
      </c>
      <c r="E72" s="34" t="s">
        <v>347</v>
      </c>
      <c r="F72" s="11" t="s">
        <v>318</v>
      </c>
      <c r="G72" s="11"/>
    </row>
    <row r="73" customFormat="false" ht="15" hidden="false" customHeight="true" outlineLevel="0" collapsed="false">
      <c r="A73" s="13" t="s">
        <v>263</v>
      </c>
      <c r="B73" s="13" t="s">
        <v>344</v>
      </c>
      <c r="C73" s="13" t="s">
        <v>359</v>
      </c>
      <c r="D73" s="13" t="s">
        <v>363</v>
      </c>
      <c r="E73" s="35" t="s">
        <v>347</v>
      </c>
      <c r="F73" s="13" t="s">
        <v>318</v>
      </c>
      <c r="G73" s="13"/>
    </row>
    <row r="74" customFormat="false" ht="15" hidden="false" customHeight="true" outlineLevel="0" collapsed="false">
      <c r="A74" s="11" t="s">
        <v>263</v>
      </c>
      <c r="B74" s="11" t="s">
        <v>344</v>
      </c>
      <c r="C74" s="11" t="s">
        <v>359</v>
      </c>
      <c r="D74" s="11" t="s">
        <v>364</v>
      </c>
      <c r="E74" s="34" t="s">
        <v>347</v>
      </c>
      <c r="F74" s="11" t="s">
        <v>318</v>
      </c>
      <c r="G74" s="11"/>
    </row>
    <row r="75" customFormat="false" ht="15" hidden="false" customHeight="true" outlineLevel="0" collapsed="false">
      <c r="A75" s="13" t="s">
        <v>263</v>
      </c>
      <c r="B75" s="13" t="s">
        <v>344</v>
      </c>
      <c r="C75" s="13" t="s">
        <v>359</v>
      </c>
      <c r="D75" s="13" t="s">
        <v>365</v>
      </c>
      <c r="E75" s="35" t="s">
        <v>347</v>
      </c>
      <c r="F75" s="13" t="s">
        <v>318</v>
      </c>
      <c r="G75" s="13"/>
    </row>
    <row r="76" customFormat="false" ht="15" hidden="false" customHeight="true" outlineLevel="0" collapsed="false">
      <c r="A76" s="11" t="s">
        <v>263</v>
      </c>
      <c r="B76" s="11" t="s">
        <v>344</v>
      </c>
      <c r="C76" s="11" t="s">
        <v>359</v>
      </c>
      <c r="D76" s="11" t="s">
        <v>366</v>
      </c>
      <c r="E76" s="34" t="s">
        <v>347</v>
      </c>
      <c r="F76" s="11" t="s">
        <v>318</v>
      </c>
      <c r="G76" s="11"/>
    </row>
    <row r="77" customFormat="false" ht="15" hidden="false" customHeight="true" outlineLevel="0" collapsed="false">
      <c r="A77" s="13" t="s">
        <v>263</v>
      </c>
      <c r="B77" s="13" t="s">
        <v>344</v>
      </c>
      <c r="C77" s="13" t="s">
        <v>359</v>
      </c>
      <c r="D77" s="13" t="s">
        <v>367</v>
      </c>
      <c r="E77" s="35" t="s">
        <v>347</v>
      </c>
      <c r="F77" s="13" t="s">
        <v>318</v>
      </c>
      <c r="G77" s="13"/>
    </row>
    <row r="78" customFormat="false" ht="15" hidden="false" customHeight="true" outlineLevel="0" collapsed="false">
      <c r="A78" s="11" t="s">
        <v>263</v>
      </c>
      <c r="B78" s="11" t="s">
        <v>344</v>
      </c>
      <c r="C78" s="11" t="s">
        <v>359</v>
      </c>
      <c r="D78" s="11" t="s">
        <v>368</v>
      </c>
      <c r="E78" s="34" t="s">
        <v>347</v>
      </c>
      <c r="F78" s="11" t="s">
        <v>318</v>
      </c>
      <c r="G78" s="11"/>
    </row>
    <row r="79" customFormat="false" ht="15" hidden="false" customHeight="true" outlineLevel="0" collapsed="false">
      <c r="A79" s="13" t="s">
        <v>263</v>
      </c>
      <c r="B79" s="13" t="s">
        <v>344</v>
      </c>
      <c r="C79" s="13" t="s">
        <v>359</v>
      </c>
      <c r="D79" s="13" t="s">
        <v>369</v>
      </c>
      <c r="E79" s="35" t="s">
        <v>347</v>
      </c>
      <c r="F79" s="13" t="s">
        <v>318</v>
      </c>
      <c r="G79" s="13"/>
    </row>
    <row r="80" customFormat="false" ht="15" hidden="false" customHeight="true" outlineLevel="0" collapsed="false">
      <c r="A80" s="11" t="s">
        <v>263</v>
      </c>
      <c r="B80" s="11" t="s">
        <v>344</v>
      </c>
      <c r="C80" s="11" t="s">
        <v>359</v>
      </c>
      <c r="D80" s="11" t="s">
        <v>370</v>
      </c>
      <c r="E80" s="34" t="s">
        <v>347</v>
      </c>
      <c r="F80" s="11" t="s">
        <v>318</v>
      </c>
      <c r="G80" s="11"/>
    </row>
    <row r="81" customFormat="false" ht="15" hidden="false" customHeight="true" outlineLevel="0" collapsed="false">
      <c r="A81" s="13" t="s">
        <v>263</v>
      </c>
      <c r="B81" s="13" t="s">
        <v>344</v>
      </c>
      <c r="C81" s="13" t="s">
        <v>359</v>
      </c>
      <c r="D81" s="13" t="s">
        <v>371</v>
      </c>
      <c r="E81" s="35" t="s">
        <v>347</v>
      </c>
      <c r="F81" s="13" t="s">
        <v>318</v>
      </c>
      <c r="G81" s="13"/>
    </row>
    <row r="82" customFormat="false" ht="15" hidden="false" customHeight="true" outlineLevel="0" collapsed="false">
      <c r="A82" s="11" t="s">
        <v>263</v>
      </c>
      <c r="B82" s="11" t="s">
        <v>344</v>
      </c>
      <c r="C82" s="11" t="s">
        <v>359</v>
      </c>
      <c r="D82" s="11" t="s">
        <v>372</v>
      </c>
      <c r="E82" s="34" t="s">
        <v>347</v>
      </c>
      <c r="F82" s="11" t="s">
        <v>318</v>
      </c>
      <c r="G82" s="11"/>
    </row>
    <row r="83" customFormat="false" ht="15" hidden="false" customHeight="true" outlineLevel="0" collapsed="false">
      <c r="A83" s="13" t="s">
        <v>263</v>
      </c>
      <c r="B83" s="13" t="s">
        <v>344</v>
      </c>
      <c r="C83" s="13" t="s">
        <v>359</v>
      </c>
      <c r="D83" s="13" t="s">
        <v>373</v>
      </c>
      <c r="E83" s="35" t="s">
        <v>347</v>
      </c>
      <c r="F83" s="13" t="s">
        <v>318</v>
      </c>
      <c r="G83" s="13"/>
    </row>
    <row r="84" customFormat="false" ht="15" hidden="false" customHeight="true" outlineLevel="0" collapsed="false">
      <c r="A84" s="11" t="s">
        <v>263</v>
      </c>
      <c r="B84" s="11" t="s">
        <v>344</v>
      </c>
      <c r="C84" s="11" t="s">
        <v>359</v>
      </c>
      <c r="D84" s="11" t="s">
        <v>374</v>
      </c>
      <c r="E84" s="34" t="s">
        <v>347</v>
      </c>
      <c r="F84" s="11" t="s">
        <v>318</v>
      </c>
      <c r="G84" s="11"/>
    </row>
    <row r="85" customFormat="false" ht="15" hidden="false" customHeight="true" outlineLevel="0" collapsed="false">
      <c r="A85" s="13" t="s">
        <v>263</v>
      </c>
      <c r="B85" s="13" t="s">
        <v>344</v>
      </c>
      <c r="C85" s="13" t="s">
        <v>359</v>
      </c>
      <c r="D85" s="13" t="s">
        <v>375</v>
      </c>
      <c r="E85" s="35" t="s">
        <v>347</v>
      </c>
      <c r="F85" s="13" t="s">
        <v>318</v>
      </c>
      <c r="G85" s="13"/>
    </row>
    <row r="86" customFormat="false" ht="15" hidden="false" customHeight="true" outlineLevel="0" collapsed="false">
      <c r="A86" s="11" t="s">
        <v>263</v>
      </c>
      <c r="B86" s="11" t="s">
        <v>344</v>
      </c>
      <c r="C86" s="11" t="s">
        <v>359</v>
      </c>
      <c r="D86" s="11" t="s">
        <v>376</v>
      </c>
      <c r="E86" s="34" t="s">
        <v>347</v>
      </c>
      <c r="F86" s="11" t="s">
        <v>318</v>
      </c>
      <c r="G86" s="11"/>
    </row>
    <row r="87" customFormat="false" ht="15" hidden="false" customHeight="true" outlineLevel="0" collapsed="false">
      <c r="A87" s="13" t="s">
        <v>263</v>
      </c>
      <c r="B87" s="13" t="s">
        <v>344</v>
      </c>
      <c r="C87" s="13" t="s">
        <v>359</v>
      </c>
      <c r="D87" s="13" t="s">
        <v>377</v>
      </c>
      <c r="E87" s="35" t="s">
        <v>347</v>
      </c>
      <c r="F87" s="13" t="s">
        <v>318</v>
      </c>
      <c r="G87" s="13"/>
    </row>
    <row r="88" customFormat="false" ht="15" hidden="false" customHeight="true" outlineLevel="0" collapsed="false">
      <c r="A88" s="11" t="s">
        <v>263</v>
      </c>
      <c r="B88" s="11" t="s">
        <v>344</v>
      </c>
      <c r="C88" s="11" t="s">
        <v>359</v>
      </c>
      <c r="D88" s="11" t="s">
        <v>378</v>
      </c>
      <c r="E88" s="34" t="s">
        <v>347</v>
      </c>
      <c r="F88" s="11" t="s">
        <v>318</v>
      </c>
      <c r="G88" s="11"/>
    </row>
    <row r="89" customFormat="false" ht="15" hidden="false" customHeight="true" outlineLevel="0" collapsed="false">
      <c r="A89" s="13" t="s">
        <v>263</v>
      </c>
      <c r="B89" s="13" t="s">
        <v>344</v>
      </c>
      <c r="C89" s="13" t="s">
        <v>359</v>
      </c>
      <c r="D89" s="13" t="s">
        <v>379</v>
      </c>
      <c r="E89" s="35" t="s">
        <v>347</v>
      </c>
      <c r="F89" s="13" t="s">
        <v>318</v>
      </c>
      <c r="G89" s="13"/>
    </row>
    <row r="90" customFormat="false" ht="15" hidden="false" customHeight="true" outlineLevel="0" collapsed="false">
      <c r="A90" s="11" t="s">
        <v>263</v>
      </c>
      <c r="B90" s="11" t="s">
        <v>344</v>
      </c>
      <c r="C90" s="11" t="s">
        <v>359</v>
      </c>
      <c r="D90" s="11" t="s">
        <v>380</v>
      </c>
      <c r="E90" s="34" t="s">
        <v>347</v>
      </c>
      <c r="F90" s="11" t="s">
        <v>318</v>
      </c>
      <c r="G90" s="11"/>
    </row>
    <row r="91" customFormat="false" ht="15" hidden="false" customHeight="true" outlineLevel="0" collapsed="false">
      <c r="A91" s="13" t="s">
        <v>263</v>
      </c>
      <c r="B91" s="13" t="s">
        <v>344</v>
      </c>
      <c r="C91" s="13" t="s">
        <v>359</v>
      </c>
      <c r="D91" s="13" t="s">
        <v>381</v>
      </c>
      <c r="E91" s="35" t="s">
        <v>347</v>
      </c>
      <c r="F91" s="13" t="s">
        <v>318</v>
      </c>
      <c r="G91" s="13"/>
    </row>
    <row r="92" customFormat="false" ht="15" hidden="false" customHeight="true" outlineLevel="0" collapsed="false">
      <c r="A92" s="11" t="s">
        <v>263</v>
      </c>
      <c r="B92" s="11" t="s">
        <v>344</v>
      </c>
      <c r="C92" s="11" t="s">
        <v>359</v>
      </c>
      <c r="D92" s="11" t="s">
        <v>382</v>
      </c>
      <c r="E92" s="34" t="s">
        <v>347</v>
      </c>
      <c r="F92" s="11" t="s">
        <v>318</v>
      </c>
      <c r="G92" s="11"/>
    </row>
    <row r="93" customFormat="false" ht="15" hidden="false" customHeight="true" outlineLevel="0" collapsed="false">
      <c r="A93" s="13" t="s">
        <v>263</v>
      </c>
      <c r="B93" s="13" t="s">
        <v>344</v>
      </c>
      <c r="C93" s="13" t="s">
        <v>359</v>
      </c>
      <c r="D93" s="13" t="s">
        <v>383</v>
      </c>
      <c r="E93" s="35" t="s">
        <v>347</v>
      </c>
      <c r="F93" s="13" t="s">
        <v>318</v>
      </c>
      <c r="G93" s="13"/>
    </row>
    <row r="94" customFormat="false" ht="15" hidden="false" customHeight="true" outlineLevel="0" collapsed="false">
      <c r="A94" s="11" t="s">
        <v>263</v>
      </c>
      <c r="B94" s="11" t="s">
        <v>344</v>
      </c>
      <c r="C94" s="11" t="s">
        <v>359</v>
      </c>
      <c r="D94" s="11" t="s">
        <v>384</v>
      </c>
      <c r="E94" s="34" t="s">
        <v>347</v>
      </c>
      <c r="F94" s="11" t="s">
        <v>318</v>
      </c>
      <c r="G94" s="11"/>
    </row>
    <row r="95" customFormat="false" ht="15" hidden="false" customHeight="true" outlineLevel="0" collapsed="false">
      <c r="A95" s="13" t="s">
        <v>263</v>
      </c>
      <c r="B95" s="13" t="s">
        <v>344</v>
      </c>
      <c r="C95" s="13" t="s">
        <v>359</v>
      </c>
      <c r="D95" s="13" t="s">
        <v>385</v>
      </c>
      <c r="E95" s="35" t="s">
        <v>347</v>
      </c>
      <c r="F95" s="13" t="s">
        <v>318</v>
      </c>
      <c r="G95" s="13"/>
    </row>
    <row r="96" customFormat="false" ht="15" hidden="false" customHeight="true" outlineLevel="0" collapsed="false">
      <c r="A96" s="11" t="s">
        <v>263</v>
      </c>
      <c r="B96" s="11" t="s">
        <v>344</v>
      </c>
      <c r="C96" s="11" t="s">
        <v>359</v>
      </c>
      <c r="D96" s="11" t="s">
        <v>386</v>
      </c>
      <c r="E96" s="34" t="s">
        <v>347</v>
      </c>
      <c r="F96" s="11" t="s">
        <v>318</v>
      </c>
      <c r="G96" s="11"/>
    </row>
    <row r="97" customFormat="false" ht="15" hidden="false" customHeight="true" outlineLevel="0" collapsed="false">
      <c r="A97" s="13" t="s">
        <v>263</v>
      </c>
      <c r="B97" s="13" t="s">
        <v>344</v>
      </c>
      <c r="C97" s="13" t="s">
        <v>359</v>
      </c>
      <c r="D97" s="13" t="s">
        <v>387</v>
      </c>
      <c r="E97" s="35" t="s">
        <v>347</v>
      </c>
      <c r="F97" s="13" t="s">
        <v>388</v>
      </c>
      <c r="G97" s="13"/>
    </row>
    <row r="98" customFormat="false" ht="15" hidden="false" customHeight="true" outlineLevel="0" collapsed="false">
      <c r="A98" s="11" t="s">
        <v>263</v>
      </c>
      <c r="B98" s="11" t="s">
        <v>344</v>
      </c>
      <c r="C98" s="11" t="s">
        <v>359</v>
      </c>
      <c r="D98" s="11" t="s">
        <v>389</v>
      </c>
      <c r="E98" s="34" t="s">
        <v>347</v>
      </c>
      <c r="F98" s="11" t="s">
        <v>388</v>
      </c>
      <c r="G98" s="11"/>
    </row>
    <row r="99" customFormat="false" ht="15" hidden="false" customHeight="true" outlineLevel="0" collapsed="false">
      <c r="A99" s="13" t="s">
        <v>263</v>
      </c>
      <c r="B99" s="13" t="s">
        <v>344</v>
      </c>
      <c r="C99" s="13" t="s">
        <v>359</v>
      </c>
      <c r="D99" s="13" t="s">
        <v>390</v>
      </c>
      <c r="E99" s="35" t="s">
        <v>347</v>
      </c>
      <c r="F99" s="13" t="s">
        <v>388</v>
      </c>
      <c r="G99" s="13"/>
    </row>
    <row r="100" customFormat="false" ht="15" hidden="false" customHeight="true" outlineLevel="0" collapsed="false">
      <c r="A100" s="11" t="s">
        <v>263</v>
      </c>
      <c r="B100" s="11" t="s">
        <v>344</v>
      </c>
      <c r="C100" s="11" t="s">
        <v>359</v>
      </c>
      <c r="D100" s="11" t="s">
        <v>391</v>
      </c>
      <c r="E100" s="34" t="s">
        <v>347</v>
      </c>
      <c r="F100" s="11" t="s">
        <v>318</v>
      </c>
      <c r="G100" s="11"/>
    </row>
    <row r="101" customFormat="false" ht="15" hidden="false" customHeight="true" outlineLevel="0" collapsed="false">
      <c r="A101" s="14" t="s">
        <v>47</v>
      </c>
      <c r="B101" s="13" t="s">
        <v>392</v>
      </c>
      <c r="C101" s="13"/>
      <c r="D101" s="13" t="s">
        <v>393</v>
      </c>
      <c r="E101" s="35" t="s">
        <v>394</v>
      </c>
      <c r="F101" s="13"/>
      <c r="G101" s="13"/>
    </row>
    <row r="102" customFormat="false" ht="15" hidden="false" customHeight="true" outlineLevel="0" collapsed="false">
      <c r="A102" s="11" t="s">
        <v>47</v>
      </c>
      <c r="B102" s="11" t="s">
        <v>392</v>
      </c>
      <c r="C102" s="11"/>
      <c r="D102" s="11" t="s">
        <v>395</v>
      </c>
      <c r="E102" s="34" t="s">
        <v>394</v>
      </c>
      <c r="F102" s="11"/>
      <c r="G102" s="11"/>
    </row>
    <row r="103" customFormat="false" ht="15" hidden="false" customHeight="true" outlineLevel="0" collapsed="false">
      <c r="A103" s="13" t="s">
        <v>47</v>
      </c>
      <c r="B103" s="13" t="s">
        <v>392</v>
      </c>
      <c r="C103" s="13"/>
      <c r="D103" s="13" t="s">
        <v>396</v>
      </c>
      <c r="E103" s="35" t="s">
        <v>394</v>
      </c>
      <c r="F103" s="13"/>
      <c r="G103" s="13"/>
    </row>
    <row r="104" customFormat="false" ht="15" hidden="false" customHeight="true" outlineLevel="0" collapsed="false">
      <c r="A104" s="11" t="s">
        <v>47</v>
      </c>
      <c r="B104" s="11" t="s">
        <v>392</v>
      </c>
      <c r="C104" s="11"/>
      <c r="D104" s="11" t="s">
        <v>397</v>
      </c>
      <c r="E104" s="34" t="s">
        <v>394</v>
      </c>
      <c r="F104" s="11"/>
      <c r="G104" s="11"/>
    </row>
    <row r="105" customFormat="false" ht="23.25" hidden="false" customHeight="true" outlineLevel="0" collapsed="false">
      <c r="A105" s="13" t="s">
        <v>47</v>
      </c>
      <c r="B105" s="13" t="s">
        <v>392</v>
      </c>
      <c r="C105" s="13"/>
      <c r="D105" s="13" t="s">
        <v>398</v>
      </c>
      <c r="E105" s="35" t="s">
        <v>394</v>
      </c>
      <c r="F105" s="13"/>
      <c r="G105" s="13"/>
    </row>
    <row r="106" customFormat="false" ht="15" hidden="false" customHeight="true" outlineLevel="0" collapsed="false">
      <c r="A106" s="11" t="s">
        <v>47</v>
      </c>
      <c r="B106" s="11" t="s">
        <v>392</v>
      </c>
      <c r="C106" s="11"/>
      <c r="D106" s="11" t="s">
        <v>399</v>
      </c>
      <c r="E106" s="34" t="s">
        <v>394</v>
      </c>
      <c r="F106" s="11"/>
      <c r="G106" s="11"/>
    </row>
    <row r="107" customFormat="false" ht="15" hidden="false" customHeight="true" outlineLevel="0" collapsed="false">
      <c r="A107" s="13" t="s">
        <v>47</v>
      </c>
      <c r="B107" s="13" t="s">
        <v>392</v>
      </c>
      <c r="C107" s="13"/>
      <c r="D107" s="13" t="s">
        <v>400</v>
      </c>
      <c r="E107" s="35" t="s">
        <v>394</v>
      </c>
      <c r="F107" s="13"/>
      <c r="G107" s="13"/>
    </row>
    <row r="108" customFormat="false" ht="15" hidden="false" customHeight="true" outlineLevel="0" collapsed="false">
      <c r="A108" s="11" t="s">
        <v>47</v>
      </c>
      <c r="B108" s="11" t="s">
        <v>392</v>
      </c>
      <c r="C108" s="11"/>
      <c r="D108" s="11" t="s">
        <v>401</v>
      </c>
      <c r="E108" s="34" t="s">
        <v>394</v>
      </c>
      <c r="F108" s="11"/>
      <c r="G108" s="11"/>
    </row>
    <row r="109" customFormat="false" ht="15" hidden="false" customHeight="true" outlineLevel="0" collapsed="false">
      <c r="A109" s="13" t="s">
        <v>47</v>
      </c>
      <c r="B109" s="13" t="s">
        <v>402</v>
      </c>
      <c r="C109" s="13"/>
      <c r="D109" s="13" t="s">
        <v>403</v>
      </c>
      <c r="E109" s="35" t="s">
        <v>394</v>
      </c>
      <c r="F109" s="13"/>
      <c r="G109" s="13"/>
    </row>
    <row r="110" customFormat="false" ht="15" hidden="false" customHeight="true" outlineLevel="0" collapsed="false">
      <c r="A110" s="11" t="s">
        <v>47</v>
      </c>
      <c r="B110" s="11" t="s">
        <v>402</v>
      </c>
      <c r="C110" s="11"/>
      <c r="D110" s="11" t="s">
        <v>404</v>
      </c>
      <c r="E110" s="34" t="s">
        <v>394</v>
      </c>
      <c r="F110" s="11"/>
      <c r="G110" s="11"/>
    </row>
    <row r="111" customFormat="false" ht="15" hidden="false" customHeight="true" outlineLevel="0" collapsed="false">
      <c r="A111" s="13" t="s">
        <v>47</v>
      </c>
      <c r="B111" s="13" t="s">
        <v>402</v>
      </c>
      <c r="C111" s="13"/>
      <c r="D111" s="13" t="s">
        <v>405</v>
      </c>
      <c r="E111" s="35" t="s">
        <v>394</v>
      </c>
      <c r="F111" s="13"/>
      <c r="G111" s="13" t="s">
        <v>406</v>
      </c>
    </row>
    <row r="112" customFormat="false" ht="15" hidden="false" customHeight="true" outlineLevel="0" collapsed="false">
      <c r="A112" s="11" t="s">
        <v>47</v>
      </c>
      <c r="B112" s="11" t="s">
        <v>402</v>
      </c>
      <c r="C112" s="11"/>
      <c r="D112" s="11" t="s">
        <v>407</v>
      </c>
      <c r="E112" s="34" t="s">
        <v>394</v>
      </c>
      <c r="F112" s="11"/>
      <c r="G112" s="11"/>
    </row>
    <row r="113" customFormat="false" ht="15" hidden="false" customHeight="true" outlineLevel="0" collapsed="false">
      <c r="A113" s="13" t="s">
        <v>47</v>
      </c>
      <c r="B113" s="13" t="s">
        <v>402</v>
      </c>
      <c r="C113" s="13"/>
      <c r="D113" s="13" t="s">
        <v>408</v>
      </c>
      <c r="E113" s="35" t="s">
        <v>394</v>
      </c>
      <c r="F113" s="13"/>
      <c r="G113" s="13"/>
    </row>
    <row r="114" customFormat="false" ht="15" hidden="false" customHeight="true" outlineLevel="0" collapsed="false">
      <c r="A114" s="11" t="s">
        <v>47</v>
      </c>
      <c r="B114" s="11" t="s">
        <v>402</v>
      </c>
      <c r="C114" s="11"/>
      <c r="D114" s="11" t="s">
        <v>409</v>
      </c>
      <c r="E114" s="34" t="s">
        <v>394</v>
      </c>
      <c r="F114" s="11"/>
      <c r="G114" s="11"/>
    </row>
    <row r="115" customFormat="false" ht="15" hidden="false" customHeight="true" outlineLevel="0" collapsed="false">
      <c r="A115" s="13" t="s">
        <v>47</v>
      </c>
      <c r="B115" s="13" t="s">
        <v>402</v>
      </c>
      <c r="C115" s="13"/>
      <c r="D115" s="13" t="s">
        <v>410</v>
      </c>
      <c r="E115" s="35" t="s">
        <v>394</v>
      </c>
      <c r="F115" s="13"/>
      <c r="G115" s="13"/>
    </row>
    <row r="116" customFormat="false" ht="15" hidden="false" customHeight="true" outlineLevel="0" collapsed="false">
      <c r="A116" s="11" t="s">
        <v>47</v>
      </c>
      <c r="B116" s="11" t="s">
        <v>402</v>
      </c>
      <c r="C116" s="11"/>
      <c r="D116" s="11" t="s">
        <v>411</v>
      </c>
      <c r="E116" s="34" t="s">
        <v>394</v>
      </c>
      <c r="F116" s="11"/>
      <c r="G116" s="11"/>
    </row>
    <row r="117" customFormat="false" ht="15" hidden="false" customHeight="true" outlineLevel="0" collapsed="false">
      <c r="A117" s="13" t="s">
        <v>47</v>
      </c>
      <c r="B117" s="13" t="s">
        <v>412</v>
      </c>
      <c r="C117" s="13"/>
      <c r="D117" s="13" t="s">
        <v>413</v>
      </c>
      <c r="E117" s="35" t="s">
        <v>394</v>
      </c>
      <c r="F117" s="13"/>
      <c r="G117" s="13" t="s">
        <v>414</v>
      </c>
    </row>
    <row r="118" customFormat="false" ht="15" hidden="false" customHeight="true" outlineLevel="0" collapsed="false">
      <c r="A118" s="11" t="s">
        <v>47</v>
      </c>
      <c r="B118" s="11" t="s">
        <v>412</v>
      </c>
      <c r="C118" s="11"/>
      <c r="D118" s="11" t="s">
        <v>415</v>
      </c>
      <c r="E118" s="34" t="s">
        <v>394</v>
      </c>
      <c r="F118" s="11"/>
      <c r="G118" s="11"/>
    </row>
    <row r="119" customFormat="false" ht="15" hidden="false" customHeight="true" outlineLevel="0" collapsed="false">
      <c r="A119" s="13" t="s">
        <v>47</v>
      </c>
      <c r="B119" s="13" t="s">
        <v>412</v>
      </c>
      <c r="C119" s="13"/>
      <c r="D119" s="13" t="s">
        <v>416</v>
      </c>
      <c r="E119" s="35" t="s">
        <v>394</v>
      </c>
      <c r="F119" s="13"/>
      <c r="G119" s="13"/>
    </row>
    <row r="120" customFormat="false" ht="15" hidden="false" customHeight="true" outlineLevel="0" collapsed="false">
      <c r="A120" s="11" t="s">
        <v>47</v>
      </c>
      <c r="B120" s="11" t="s">
        <v>412</v>
      </c>
      <c r="C120" s="11"/>
      <c r="D120" s="11" t="s">
        <v>417</v>
      </c>
      <c r="E120" s="34" t="s">
        <v>394</v>
      </c>
      <c r="F120" s="11"/>
      <c r="G120" s="11"/>
    </row>
    <row r="121" customFormat="false" ht="15" hidden="false" customHeight="true" outlineLevel="0" collapsed="false">
      <c r="A121" s="13" t="s">
        <v>47</v>
      </c>
      <c r="B121" s="13" t="s">
        <v>412</v>
      </c>
      <c r="C121" s="13"/>
      <c r="D121" s="13" t="s">
        <v>418</v>
      </c>
      <c r="E121" s="35" t="s">
        <v>394</v>
      </c>
      <c r="F121" s="13"/>
      <c r="G121" s="13"/>
    </row>
    <row r="122" customFormat="false" ht="15" hidden="false" customHeight="true" outlineLevel="0" collapsed="false">
      <c r="A122" s="11" t="s">
        <v>47</v>
      </c>
      <c r="B122" s="11" t="s">
        <v>412</v>
      </c>
      <c r="C122" s="11"/>
      <c r="D122" s="11" t="s">
        <v>419</v>
      </c>
      <c r="E122" s="34" t="s">
        <v>394</v>
      </c>
      <c r="F122" s="11"/>
      <c r="G122" s="11"/>
    </row>
    <row r="123" customFormat="false" ht="23.25" hidden="false" customHeight="true" outlineLevel="0" collapsed="false">
      <c r="A123" s="13" t="s">
        <v>47</v>
      </c>
      <c r="B123" s="13" t="s">
        <v>420</v>
      </c>
      <c r="C123" s="13"/>
      <c r="D123" s="13" t="s">
        <v>421</v>
      </c>
      <c r="E123" s="35" t="s">
        <v>394</v>
      </c>
      <c r="F123" s="13"/>
      <c r="G123" s="13"/>
    </row>
    <row r="124" customFormat="false" ht="15" hidden="false" customHeight="true" outlineLevel="0" collapsed="false">
      <c r="A124" s="11" t="s">
        <v>47</v>
      </c>
      <c r="B124" s="11" t="s">
        <v>420</v>
      </c>
      <c r="C124" s="11"/>
      <c r="D124" s="11" t="s">
        <v>422</v>
      </c>
      <c r="E124" s="34" t="s">
        <v>394</v>
      </c>
      <c r="F124" s="11"/>
      <c r="G124" s="11"/>
    </row>
    <row r="125" customFormat="false" ht="15" hidden="false" customHeight="true" outlineLevel="0" collapsed="false">
      <c r="A125" s="13" t="s">
        <v>47</v>
      </c>
      <c r="B125" s="13" t="s">
        <v>420</v>
      </c>
      <c r="C125" s="13"/>
      <c r="D125" s="13" t="s">
        <v>423</v>
      </c>
      <c r="E125" s="35" t="s">
        <v>394</v>
      </c>
      <c r="F125" s="13"/>
      <c r="G125" s="13"/>
    </row>
    <row r="126" customFormat="false" ht="15" hidden="false" customHeight="true" outlineLevel="0" collapsed="false">
      <c r="A126" s="11" t="s">
        <v>47</v>
      </c>
      <c r="B126" s="11" t="s">
        <v>420</v>
      </c>
      <c r="C126" s="11"/>
      <c r="D126" s="11" t="s">
        <v>424</v>
      </c>
      <c r="E126" s="34" t="s">
        <v>394</v>
      </c>
      <c r="F126" s="11"/>
      <c r="G126" s="11"/>
    </row>
    <row r="127" customFormat="false" ht="15" hidden="false" customHeight="true" outlineLevel="0" collapsed="false">
      <c r="A127" s="13" t="s">
        <v>47</v>
      </c>
      <c r="B127" s="13" t="s">
        <v>420</v>
      </c>
      <c r="C127" s="13"/>
      <c r="D127" s="13" t="s">
        <v>425</v>
      </c>
      <c r="E127" s="35" t="s">
        <v>394</v>
      </c>
      <c r="F127" s="13"/>
      <c r="G127" s="13"/>
    </row>
    <row r="128" customFormat="false" ht="15" hidden="false" customHeight="true" outlineLevel="0" collapsed="false">
      <c r="A128" s="11" t="s">
        <v>47</v>
      </c>
      <c r="B128" s="11" t="s">
        <v>420</v>
      </c>
      <c r="C128" s="11"/>
      <c r="D128" s="11" t="s">
        <v>426</v>
      </c>
      <c r="E128" s="34" t="s">
        <v>394</v>
      </c>
      <c r="F128" s="11"/>
      <c r="G128" s="11"/>
    </row>
    <row r="129" customFormat="false" ht="15" hidden="false" customHeight="true" outlineLevel="0" collapsed="false">
      <c r="A129" s="13" t="s">
        <v>47</v>
      </c>
      <c r="B129" s="13" t="s">
        <v>420</v>
      </c>
      <c r="C129" s="13"/>
      <c r="D129" s="13" t="s">
        <v>427</v>
      </c>
      <c r="E129" s="35" t="s">
        <v>394</v>
      </c>
      <c r="F129" s="13"/>
      <c r="G129" s="13"/>
    </row>
    <row r="130" customFormat="false" ht="15" hidden="false" customHeight="true" outlineLevel="0" collapsed="false">
      <c r="A130" s="11" t="s">
        <v>47</v>
      </c>
      <c r="B130" s="11" t="s">
        <v>420</v>
      </c>
      <c r="C130" s="11"/>
      <c r="D130" s="11" t="s">
        <v>428</v>
      </c>
      <c r="E130" s="34" t="s">
        <v>394</v>
      </c>
      <c r="F130" s="11"/>
      <c r="G130" s="11"/>
    </row>
    <row r="131" customFormat="false" ht="15" hidden="false" customHeight="true" outlineLevel="0" collapsed="false">
      <c r="A131" s="13" t="s">
        <v>47</v>
      </c>
      <c r="B131" s="13" t="s">
        <v>420</v>
      </c>
      <c r="C131" s="13"/>
      <c r="D131" s="13" t="s">
        <v>429</v>
      </c>
      <c r="E131" s="35" t="s">
        <v>394</v>
      </c>
      <c r="F131" s="13"/>
      <c r="G131" s="13"/>
    </row>
    <row r="132" customFormat="false" ht="15" hidden="false" customHeight="true" outlineLevel="0" collapsed="false">
      <c r="A132" s="11" t="s">
        <v>47</v>
      </c>
      <c r="B132" s="11" t="s">
        <v>420</v>
      </c>
      <c r="C132" s="11"/>
      <c r="D132" s="11" t="s">
        <v>430</v>
      </c>
      <c r="E132" s="34" t="s">
        <v>394</v>
      </c>
      <c r="F132" s="11"/>
      <c r="G132" s="11"/>
    </row>
    <row r="133" customFormat="false" ht="15" hidden="false" customHeight="true" outlineLevel="0" collapsed="false">
      <c r="A133" s="14" t="s">
        <v>49</v>
      </c>
      <c r="B133" s="13" t="s">
        <v>431</v>
      </c>
      <c r="C133" s="13"/>
      <c r="D133" s="13" t="s">
        <v>432</v>
      </c>
      <c r="E133" s="35" t="s">
        <v>433</v>
      </c>
      <c r="F133" s="13"/>
      <c r="G133" s="13"/>
    </row>
    <row r="134" customFormat="false" ht="15" hidden="false" customHeight="true" outlineLevel="0" collapsed="false">
      <c r="A134" s="11" t="s">
        <v>49</v>
      </c>
      <c r="B134" s="11" t="s">
        <v>431</v>
      </c>
      <c r="C134" s="11"/>
      <c r="D134" s="11" t="s">
        <v>434</v>
      </c>
      <c r="E134" s="34" t="s">
        <v>433</v>
      </c>
      <c r="F134" s="11"/>
      <c r="G134" s="11"/>
    </row>
    <row r="135" customFormat="false" ht="15" hidden="false" customHeight="true" outlineLevel="0" collapsed="false">
      <c r="A135" s="13" t="s">
        <v>49</v>
      </c>
      <c r="B135" s="13" t="s">
        <v>431</v>
      </c>
      <c r="C135" s="13"/>
      <c r="D135" s="13" t="s">
        <v>435</v>
      </c>
      <c r="E135" s="35" t="s">
        <v>433</v>
      </c>
      <c r="F135" s="13"/>
      <c r="G135" s="13"/>
    </row>
    <row r="136" customFormat="false" ht="15" hidden="false" customHeight="true" outlineLevel="0" collapsed="false">
      <c r="A136" s="11" t="s">
        <v>49</v>
      </c>
      <c r="B136" s="11" t="s">
        <v>431</v>
      </c>
      <c r="C136" s="11"/>
      <c r="D136" s="11" t="s">
        <v>436</v>
      </c>
      <c r="E136" s="34" t="s">
        <v>433</v>
      </c>
      <c r="F136" s="11"/>
      <c r="G136" s="11"/>
    </row>
    <row r="137" customFormat="false" ht="15" hidden="false" customHeight="true" outlineLevel="0" collapsed="false">
      <c r="A137" s="13" t="s">
        <v>49</v>
      </c>
      <c r="B137" s="13" t="s">
        <v>437</v>
      </c>
      <c r="C137" s="13"/>
      <c r="D137" s="13" t="s">
        <v>438</v>
      </c>
      <c r="E137" s="35" t="s">
        <v>439</v>
      </c>
      <c r="F137" s="13"/>
      <c r="G137" s="13"/>
    </row>
    <row r="138" customFormat="false" ht="15" hidden="false" customHeight="true" outlineLevel="0" collapsed="false">
      <c r="A138" s="11" t="s">
        <v>49</v>
      </c>
      <c r="B138" s="11" t="s">
        <v>437</v>
      </c>
      <c r="C138" s="11"/>
      <c r="D138" s="11" t="s">
        <v>440</v>
      </c>
      <c r="E138" s="34" t="s">
        <v>439</v>
      </c>
      <c r="F138" s="11"/>
      <c r="G138" s="11"/>
    </row>
    <row r="139" customFormat="false" ht="15" hidden="false" customHeight="true" outlineLevel="0" collapsed="false">
      <c r="A139" s="13" t="s">
        <v>49</v>
      </c>
      <c r="B139" s="13" t="s">
        <v>441</v>
      </c>
      <c r="C139" s="13"/>
      <c r="D139" s="13" t="s">
        <v>442</v>
      </c>
      <c r="E139" s="35" t="s">
        <v>443</v>
      </c>
      <c r="F139" s="13"/>
      <c r="G139" s="13"/>
    </row>
    <row r="140" customFormat="false" ht="15" hidden="false" customHeight="true" outlineLevel="0" collapsed="false">
      <c r="A140" s="11" t="s">
        <v>49</v>
      </c>
      <c r="B140" s="11" t="s">
        <v>441</v>
      </c>
      <c r="C140" s="11"/>
      <c r="D140" s="11" t="s">
        <v>444</v>
      </c>
      <c r="E140" s="34" t="s">
        <v>443</v>
      </c>
      <c r="F140" s="11"/>
      <c r="G140" s="11"/>
    </row>
    <row r="141" customFormat="false" ht="15" hidden="false" customHeight="true" outlineLevel="0" collapsed="false">
      <c r="A141" s="13" t="s">
        <v>49</v>
      </c>
      <c r="B141" s="13" t="s">
        <v>441</v>
      </c>
      <c r="C141" s="13"/>
      <c r="D141" s="13" t="s">
        <v>445</v>
      </c>
      <c r="E141" s="35" t="s">
        <v>443</v>
      </c>
      <c r="F141" s="13"/>
      <c r="G141" s="13"/>
    </row>
    <row r="142" customFormat="false" ht="15" hidden="false" customHeight="true" outlineLevel="0" collapsed="false">
      <c r="A142" s="11" t="s">
        <v>49</v>
      </c>
      <c r="B142" s="11" t="s">
        <v>441</v>
      </c>
      <c r="C142" s="11"/>
      <c r="D142" s="11" t="s">
        <v>446</v>
      </c>
      <c r="E142" s="34" t="s">
        <v>443</v>
      </c>
      <c r="F142" s="11"/>
      <c r="G142" s="11"/>
    </row>
    <row r="143" customFormat="false" ht="15" hidden="false" customHeight="true" outlineLevel="0" collapsed="false">
      <c r="A143" s="13" t="s">
        <v>49</v>
      </c>
      <c r="B143" s="13" t="s">
        <v>441</v>
      </c>
      <c r="C143" s="13"/>
      <c r="D143" s="13" t="s">
        <v>447</v>
      </c>
      <c r="E143" s="35" t="s">
        <v>443</v>
      </c>
      <c r="F143" s="13"/>
      <c r="G143" s="13"/>
    </row>
    <row r="144" customFormat="false" ht="15" hidden="false" customHeight="true" outlineLevel="0" collapsed="false">
      <c r="A144" s="11" t="s">
        <v>49</v>
      </c>
      <c r="B144" s="11" t="s">
        <v>441</v>
      </c>
      <c r="C144" s="11"/>
      <c r="D144" s="11" t="s">
        <v>448</v>
      </c>
      <c r="E144" s="34" t="s">
        <v>443</v>
      </c>
      <c r="F144" s="11"/>
      <c r="G144" s="11"/>
    </row>
    <row r="145" customFormat="false" ht="15" hidden="false" customHeight="true" outlineLevel="0" collapsed="false">
      <c r="A145" s="13" t="s">
        <v>49</v>
      </c>
      <c r="B145" s="13" t="s">
        <v>449</v>
      </c>
      <c r="C145" s="13"/>
      <c r="D145" s="13" t="s">
        <v>450</v>
      </c>
      <c r="E145" s="35" t="s">
        <v>439</v>
      </c>
      <c r="F145" s="13"/>
      <c r="G145" s="13"/>
    </row>
    <row r="146" customFormat="false" ht="15" hidden="false" customHeight="true" outlineLevel="0" collapsed="false">
      <c r="A146" s="11" t="s">
        <v>49</v>
      </c>
      <c r="B146" s="11" t="s">
        <v>449</v>
      </c>
      <c r="C146" s="11"/>
      <c r="D146" s="11" t="s">
        <v>451</v>
      </c>
      <c r="E146" s="34" t="s">
        <v>439</v>
      </c>
      <c r="F146" s="11"/>
      <c r="G146" s="11"/>
    </row>
    <row r="147" customFormat="false" ht="15" hidden="false" customHeight="true" outlineLevel="0" collapsed="false">
      <c r="A147" s="13" t="s">
        <v>49</v>
      </c>
      <c r="B147" s="13" t="s">
        <v>449</v>
      </c>
      <c r="C147" s="13"/>
      <c r="D147" s="13" t="s">
        <v>452</v>
      </c>
      <c r="E147" s="35" t="s">
        <v>439</v>
      </c>
      <c r="F147" s="13"/>
      <c r="G147" s="13"/>
    </row>
    <row r="148" customFormat="false" ht="15" hidden="false" customHeight="true" outlineLevel="0" collapsed="false">
      <c r="A148" s="11" t="s">
        <v>49</v>
      </c>
      <c r="B148" s="11" t="s">
        <v>449</v>
      </c>
      <c r="C148" s="11"/>
      <c r="D148" s="11" t="s">
        <v>453</v>
      </c>
      <c r="E148" s="34" t="s">
        <v>439</v>
      </c>
      <c r="F148" s="11"/>
      <c r="G148" s="11"/>
    </row>
    <row r="149" customFormat="false" ht="15" hidden="false" customHeight="true" outlineLevel="0" collapsed="false">
      <c r="A149" s="13" t="s">
        <v>49</v>
      </c>
      <c r="B149" s="13" t="s">
        <v>449</v>
      </c>
      <c r="C149" s="13"/>
      <c r="D149" s="13" t="s">
        <v>454</v>
      </c>
      <c r="E149" s="35" t="s">
        <v>439</v>
      </c>
      <c r="F149" s="13"/>
      <c r="G149" s="13"/>
    </row>
    <row r="150" customFormat="false" ht="15" hidden="false" customHeight="true" outlineLevel="0" collapsed="false">
      <c r="A150" s="11" t="s">
        <v>49</v>
      </c>
      <c r="B150" s="11" t="s">
        <v>449</v>
      </c>
      <c r="C150" s="11"/>
      <c r="D150" s="11" t="s">
        <v>455</v>
      </c>
      <c r="E150" s="34" t="s">
        <v>439</v>
      </c>
      <c r="F150" s="11"/>
      <c r="G150" s="11"/>
    </row>
    <row r="151" customFormat="false" ht="15" hidden="false" customHeight="true" outlineLevel="0" collapsed="false">
      <c r="A151" s="13" t="s">
        <v>49</v>
      </c>
      <c r="B151" s="13" t="s">
        <v>449</v>
      </c>
      <c r="C151" s="13"/>
      <c r="D151" s="13" t="s">
        <v>456</v>
      </c>
      <c r="E151" s="35" t="s">
        <v>439</v>
      </c>
      <c r="F151" s="13"/>
      <c r="G151" s="13"/>
    </row>
    <row r="152" customFormat="false" ht="15" hidden="false" customHeight="true" outlineLevel="0" collapsed="false">
      <c r="A152" s="11" t="s">
        <v>49</v>
      </c>
      <c r="B152" s="11" t="s">
        <v>449</v>
      </c>
      <c r="C152" s="11"/>
      <c r="D152" s="11" t="s">
        <v>457</v>
      </c>
      <c r="E152" s="34" t="s">
        <v>439</v>
      </c>
      <c r="F152" s="11"/>
      <c r="G152" s="11"/>
    </row>
    <row r="153" customFormat="false" ht="15" hidden="false" customHeight="true" outlineLevel="0" collapsed="false">
      <c r="A153" s="13" t="s">
        <v>49</v>
      </c>
      <c r="B153" s="13" t="s">
        <v>449</v>
      </c>
      <c r="C153" s="13"/>
      <c r="D153" s="13" t="s">
        <v>458</v>
      </c>
      <c r="E153" s="35" t="s">
        <v>439</v>
      </c>
      <c r="F153" s="13"/>
      <c r="G153" s="13"/>
    </row>
    <row r="154" customFormat="false" ht="15" hidden="false" customHeight="true" outlineLevel="0" collapsed="false">
      <c r="A154" s="11" t="s">
        <v>49</v>
      </c>
      <c r="B154" s="11" t="s">
        <v>449</v>
      </c>
      <c r="C154" s="11"/>
      <c r="D154" s="11" t="s">
        <v>459</v>
      </c>
      <c r="E154" s="34" t="s">
        <v>439</v>
      </c>
      <c r="F154" s="11"/>
      <c r="G154" s="11"/>
    </row>
    <row r="155" customFormat="false" ht="15" hidden="false" customHeight="true" outlineLevel="0" collapsed="false">
      <c r="A155" s="13" t="s">
        <v>49</v>
      </c>
      <c r="B155" s="13" t="s">
        <v>449</v>
      </c>
      <c r="C155" s="13"/>
      <c r="D155" s="13" t="s">
        <v>460</v>
      </c>
      <c r="E155" s="35" t="s">
        <v>439</v>
      </c>
      <c r="F155" s="13"/>
      <c r="G155" s="13"/>
    </row>
    <row r="156" customFormat="false" ht="15" hidden="false" customHeight="true" outlineLevel="0" collapsed="false">
      <c r="A156" s="11" t="s">
        <v>49</v>
      </c>
      <c r="B156" s="11" t="s">
        <v>449</v>
      </c>
      <c r="C156" s="11"/>
      <c r="D156" s="11" t="s">
        <v>461</v>
      </c>
      <c r="E156" s="34" t="s">
        <v>439</v>
      </c>
      <c r="F156" s="11"/>
      <c r="G156" s="11"/>
    </row>
    <row r="157" customFormat="false" ht="15" hidden="false" customHeight="true" outlineLevel="0" collapsed="false">
      <c r="A157" s="13" t="s">
        <v>49</v>
      </c>
      <c r="B157" s="13" t="s">
        <v>449</v>
      </c>
      <c r="C157" s="13"/>
      <c r="D157" s="13" t="s">
        <v>462</v>
      </c>
      <c r="E157" s="35" t="s">
        <v>439</v>
      </c>
      <c r="F157" s="13"/>
      <c r="G157" s="13"/>
    </row>
    <row r="158" customFormat="false" ht="15" hidden="false" customHeight="true" outlineLevel="0" collapsed="false">
      <c r="A158" s="11" t="s">
        <v>49</v>
      </c>
      <c r="B158" s="11" t="s">
        <v>449</v>
      </c>
      <c r="C158" s="11"/>
      <c r="D158" s="11" t="s">
        <v>463</v>
      </c>
      <c r="E158" s="34" t="s">
        <v>439</v>
      </c>
      <c r="F158" s="11"/>
      <c r="G158" s="11" t="s">
        <v>464</v>
      </c>
    </row>
    <row r="159" customFormat="false" ht="15" hidden="false" customHeight="true" outlineLevel="0" collapsed="false">
      <c r="A159" s="14" t="s">
        <v>51</v>
      </c>
      <c r="B159" s="13" t="s">
        <v>465</v>
      </c>
      <c r="C159" s="13"/>
      <c r="D159" s="13" t="s">
        <v>466</v>
      </c>
      <c r="E159" s="35" t="s">
        <v>467</v>
      </c>
      <c r="F159" s="13"/>
      <c r="G159" s="13"/>
    </row>
    <row r="160" customFormat="false" ht="15" hidden="false" customHeight="true" outlineLevel="0" collapsed="false">
      <c r="A160" s="11" t="s">
        <v>51</v>
      </c>
      <c r="B160" s="11" t="s">
        <v>465</v>
      </c>
      <c r="C160" s="11"/>
      <c r="D160" s="11" t="s">
        <v>468</v>
      </c>
      <c r="E160" s="34" t="s">
        <v>467</v>
      </c>
      <c r="F160" s="11"/>
      <c r="G160" s="11"/>
    </row>
    <row r="161" customFormat="false" ht="15" hidden="false" customHeight="true" outlineLevel="0" collapsed="false">
      <c r="A161" s="13" t="s">
        <v>51</v>
      </c>
      <c r="B161" s="13" t="s">
        <v>465</v>
      </c>
      <c r="C161" s="13"/>
      <c r="D161" s="13" t="s">
        <v>469</v>
      </c>
      <c r="E161" s="35" t="s">
        <v>467</v>
      </c>
      <c r="F161" s="13"/>
      <c r="G161" s="13"/>
    </row>
    <row r="162" customFormat="false" ht="15" hidden="false" customHeight="true" outlineLevel="0" collapsed="false">
      <c r="A162" s="11" t="s">
        <v>51</v>
      </c>
      <c r="B162" s="11" t="s">
        <v>465</v>
      </c>
      <c r="C162" s="11"/>
      <c r="D162" s="11" t="s">
        <v>470</v>
      </c>
      <c r="E162" s="34" t="s">
        <v>467</v>
      </c>
      <c r="F162" s="11"/>
      <c r="G162" s="11"/>
    </row>
    <row r="163" customFormat="false" ht="15" hidden="false" customHeight="true" outlineLevel="0" collapsed="false">
      <c r="A163" s="13" t="s">
        <v>51</v>
      </c>
      <c r="B163" s="13" t="s">
        <v>465</v>
      </c>
      <c r="C163" s="13"/>
      <c r="D163" s="13" t="s">
        <v>471</v>
      </c>
      <c r="E163" s="35" t="s">
        <v>467</v>
      </c>
      <c r="F163" s="13"/>
      <c r="G163" s="13"/>
    </row>
    <row r="164" customFormat="false" ht="15" hidden="false" customHeight="true" outlineLevel="0" collapsed="false">
      <c r="A164" s="11" t="s">
        <v>51</v>
      </c>
      <c r="B164" s="11" t="s">
        <v>465</v>
      </c>
      <c r="C164" s="11"/>
      <c r="D164" s="11" t="s">
        <v>472</v>
      </c>
      <c r="E164" s="34" t="s">
        <v>467</v>
      </c>
      <c r="F164" s="11"/>
      <c r="G164" s="11"/>
    </row>
    <row r="165" customFormat="false" ht="15" hidden="false" customHeight="true" outlineLevel="0" collapsed="false">
      <c r="A165" s="13" t="s">
        <v>51</v>
      </c>
      <c r="B165" s="13" t="s">
        <v>465</v>
      </c>
      <c r="C165" s="13"/>
      <c r="D165" s="13" t="s">
        <v>473</v>
      </c>
      <c r="E165" s="35" t="s">
        <v>467</v>
      </c>
      <c r="F165" s="13"/>
      <c r="G165" s="13"/>
    </row>
    <row r="166" customFormat="false" ht="15" hidden="false" customHeight="true" outlineLevel="0" collapsed="false">
      <c r="A166" s="11" t="s">
        <v>51</v>
      </c>
      <c r="B166" s="11" t="s">
        <v>465</v>
      </c>
      <c r="C166" s="11"/>
      <c r="D166" s="11" t="s">
        <v>474</v>
      </c>
      <c r="E166" s="34" t="s">
        <v>467</v>
      </c>
      <c r="F166" s="11"/>
      <c r="G166" s="11"/>
    </row>
    <row r="167" customFormat="false" ht="15" hidden="false" customHeight="true" outlineLevel="0" collapsed="false">
      <c r="A167" s="13" t="s">
        <v>51</v>
      </c>
      <c r="B167" s="13" t="s">
        <v>465</v>
      </c>
      <c r="C167" s="13"/>
      <c r="D167" s="13" t="s">
        <v>475</v>
      </c>
      <c r="E167" s="35" t="s">
        <v>467</v>
      </c>
      <c r="F167" s="13"/>
      <c r="G167" s="13" t="s">
        <v>476</v>
      </c>
    </row>
    <row r="168" customFormat="false" ht="15" hidden="false" customHeight="true" outlineLevel="0" collapsed="false">
      <c r="A168" s="11" t="s">
        <v>51</v>
      </c>
      <c r="B168" s="11" t="s">
        <v>465</v>
      </c>
      <c r="C168" s="11"/>
      <c r="D168" s="11" t="s">
        <v>477</v>
      </c>
      <c r="E168" s="34" t="s">
        <v>467</v>
      </c>
      <c r="F168" s="11"/>
      <c r="G168" s="11"/>
    </row>
    <row r="169" customFormat="false" ht="15" hidden="false" customHeight="true" outlineLevel="0" collapsed="false">
      <c r="A169" s="13" t="s">
        <v>51</v>
      </c>
      <c r="B169" s="13" t="s">
        <v>465</v>
      </c>
      <c r="C169" s="13"/>
      <c r="D169" s="13" t="s">
        <v>478</v>
      </c>
      <c r="E169" s="35" t="s">
        <v>467</v>
      </c>
      <c r="F169" s="13"/>
      <c r="G169" s="13"/>
    </row>
    <row r="170" customFormat="false" ht="15" hidden="false" customHeight="true" outlineLevel="0" collapsed="false">
      <c r="A170" s="11" t="s">
        <v>51</v>
      </c>
      <c r="B170" s="11" t="s">
        <v>465</v>
      </c>
      <c r="C170" s="11"/>
      <c r="D170" s="11" t="s">
        <v>479</v>
      </c>
      <c r="E170" s="34" t="s">
        <v>467</v>
      </c>
      <c r="F170" s="11"/>
      <c r="G170" s="11"/>
    </row>
    <row r="171" customFormat="false" ht="15" hidden="false" customHeight="true" outlineLevel="0" collapsed="false">
      <c r="A171" s="13" t="s">
        <v>51</v>
      </c>
      <c r="B171" s="13" t="s">
        <v>412</v>
      </c>
      <c r="C171" s="13"/>
      <c r="D171" s="13" t="s">
        <v>480</v>
      </c>
      <c r="E171" s="35" t="s">
        <v>467</v>
      </c>
      <c r="F171" s="13"/>
      <c r="G171" s="13"/>
    </row>
    <row r="172" customFormat="false" ht="15" hidden="false" customHeight="true" outlineLevel="0" collapsed="false">
      <c r="A172" s="11" t="s">
        <v>51</v>
      </c>
      <c r="B172" s="11" t="s">
        <v>412</v>
      </c>
      <c r="C172" s="11"/>
      <c r="D172" s="11" t="s">
        <v>481</v>
      </c>
      <c r="E172" s="34" t="s">
        <v>467</v>
      </c>
      <c r="F172" s="11"/>
      <c r="G172" s="11" t="s">
        <v>482</v>
      </c>
    </row>
    <row r="173" customFormat="false" ht="15" hidden="false" customHeight="true" outlineLevel="0" collapsed="false">
      <c r="A173" s="13" t="s">
        <v>51</v>
      </c>
      <c r="B173" s="13" t="s">
        <v>412</v>
      </c>
      <c r="C173" s="13"/>
      <c r="D173" s="13" t="s">
        <v>483</v>
      </c>
      <c r="E173" s="35" t="s">
        <v>467</v>
      </c>
      <c r="F173" s="13"/>
      <c r="G173" s="13"/>
    </row>
    <row r="174" customFormat="false" ht="15" hidden="false" customHeight="true" outlineLevel="0" collapsed="false">
      <c r="A174" s="12" t="s">
        <v>53</v>
      </c>
      <c r="B174" s="11"/>
      <c r="C174" s="11"/>
      <c r="D174" s="11" t="s">
        <v>484</v>
      </c>
      <c r="E174" s="34" t="s">
        <v>485</v>
      </c>
      <c r="F174" s="11"/>
      <c r="G174" s="11"/>
    </row>
    <row r="175" customFormat="false" ht="15" hidden="false" customHeight="true" outlineLevel="0" collapsed="false">
      <c r="A175" s="13" t="s">
        <v>53</v>
      </c>
      <c r="B175" s="13"/>
      <c r="C175" s="13"/>
      <c r="D175" s="13" t="s">
        <v>486</v>
      </c>
      <c r="E175" s="35" t="s">
        <v>485</v>
      </c>
      <c r="F175" s="13"/>
      <c r="G175" s="13"/>
    </row>
    <row r="176" customFormat="false" ht="15" hidden="false" customHeight="true" outlineLevel="0" collapsed="false">
      <c r="A176" s="11" t="s">
        <v>53</v>
      </c>
      <c r="B176" s="11"/>
      <c r="C176" s="11"/>
      <c r="D176" s="11" t="s">
        <v>487</v>
      </c>
      <c r="E176" s="34" t="s">
        <v>485</v>
      </c>
      <c r="F176" s="11"/>
      <c r="G176" s="11"/>
    </row>
    <row r="177" customFormat="false" ht="15" hidden="false" customHeight="true" outlineLevel="0" collapsed="false">
      <c r="A177" s="13" t="s">
        <v>53</v>
      </c>
      <c r="B177" s="13"/>
      <c r="C177" s="13"/>
      <c r="D177" s="13" t="s">
        <v>488</v>
      </c>
      <c r="E177" s="35" t="s">
        <v>485</v>
      </c>
      <c r="F177" s="13"/>
      <c r="G177" s="13"/>
    </row>
    <row r="178" customFormat="false" ht="15" hidden="false" customHeight="true" outlineLevel="0" collapsed="false">
      <c r="A178" s="11" t="s">
        <v>53</v>
      </c>
      <c r="B178" s="11"/>
      <c r="C178" s="11"/>
      <c r="D178" s="11" t="s">
        <v>489</v>
      </c>
      <c r="E178" s="34" t="s">
        <v>485</v>
      </c>
      <c r="F178" s="11"/>
      <c r="G178" s="11"/>
    </row>
    <row r="179" customFormat="false" ht="15" hidden="false" customHeight="true" outlineLevel="0" collapsed="false">
      <c r="A179" s="13" t="s">
        <v>53</v>
      </c>
      <c r="B179" s="13"/>
      <c r="C179" s="13"/>
      <c r="D179" s="13" t="s">
        <v>490</v>
      </c>
      <c r="E179" s="35" t="s">
        <v>485</v>
      </c>
      <c r="F179" s="13"/>
      <c r="G179" s="13" t="s">
        <v>491</v>
      </c>
    </row>
    <row r="180" customFormat="false" ht="15" hidden="false" customHeight="true" outlineLevel="0" collapsed="false">
      <c r="A180" s="11" t="s">
        <v>53</v>
      </c>
      <c r="B180" s="11"/>
      <c r="C180" s="11"/>
      <c r="D180" s="11" t="s">
        <v>492</v>
      </c>
      <c r="E180" s="34" t="s">
        <v>485</v>
      </c>
      <c r="F180" s="11"/>
      <c r="G180" s="11"/>
    </row>
    <row r="181" customFormat="false" ht="15" hidden="false" customHeight="true" outlineLevel="0" collapsed="false">
      <c r="A181" s="13" t="s">
        <v>53</v>
      </c>
      <c r="B181" s="13"/>
      <c r="C181" s="13"/>
      <c r="D181" s="13" t="s">
        <v>493</v>
      </c>
      <c r="E181" s="35" t="s">
        <v>485</v>
      </c>
      <c r="F181" s="13"/>
      <c r="G181" s="13"/>
    </row>
    <row r="182" customFormat="false" ht="15" hidden="false" customHeight="true" outlineLevel="0" collapsed="false">
      <c r="A182" s="12" t="s">
        <v>55</v>
      </c>
      <c r="B182" s="11"/>
      <c r="C182" s="11"/>
      <c r="D182" s="11" t="s">
        <v>494</v>
      </c>
      <c r="E182" s="34" t="s">
        <v>495</v>
      </c>
      <c r="F182" s="11"/>
      <c r="G182" s="11"/>
    </row>
    <row r="183" customFormat="false" ht="15" hidden="false" customHeight="true" outlineLevel="0" collapsed="false">
      <c r="A183" s="13" t="s">
        <v>55</v>
      </c>
      <c r="B183" s="13"/>
      <c r="C183" s="13"/>
      <c r="D183" s="13" t="s">
        <v>496</v>
      </c>
      <c r="E183" s="35" t="s">
        <v>495</v>
      </c>
      <c r="F183" s="13"/>
      <c r="G183" s="13"/>
    </row>
    <row r="184" customFormat="false" ht="15" hidden="false" customHeight="true" outlineLevel="0" collapsed="false">
      <c r="A184" s="11" t="s">
        <v>55</v>
      </c>
      <c r="B184" s="11"/>
      <c r="C184" s="11"/>
      <c r="D184" s="11" t="s">
        <v>497</v>
      </c>
      <c r="E184" s="34" t="s">
        <v>495</v>
      </c>
      <c r="F184" s="11"/>
      <c r="G184" s="11"/>
    </row>
    <row r="185" customFormat="false" ht="15" hidden="false" customHeight="true" outlineLevel="0" collapsed="false">
      <c r="A185" s="13" t="s">
        <v>55</v>
      </c>
      <c r="B185" s="13"/>
      <c r="C185" s="13"/>
      <c r="D185" s="13" t="s">
        <v>498</v>
      </c>
      <c r="E185" s="35" t="s">
        <v>495</v>
      </c>
      <c r="F185" s="13"/>
      <c r="G185" s="13"/>
    </row>
    <row r="186" customFormat="false" ht="15" hidden="false" customHeight="true" outlineLevel="0" collapsed="false">
      <c r="A186" s="11" t="s">
        <v>55</v>
      </c>
      <c r="B186" s="11"/>
      <c r="C186" s="11"/>
      <c r="D186" s="11" t="s">
        <v>499</v>
      </c>
      <c r="E186" s="34" t="s">
        <v>495</v>
      </c>
      <c r="F186" s="11"/>
      <c r="G186" s="11"/>
    </row>
    <row r="187" customFormat="false" ht="15" hidden="false" customHeight="true" outlineLevel="0" collapsed="false">
      <c r="A187" s="13" t="s">
        <v>55</v>
      </c>
      <c r="B187" s="13"/>
      <c r="C187" s="13"/>
      <c r="D187" s="13" t="s">
        <v>500</v>
      </c>
      <c r="E187" s="35" t="s">
        <v>495</v>
      </c>
      <c r="F187" s="13"/>
      <c r="G187" s="13"/>
    </row>
    <row r="188" customFormat="false" ht="15" hidden="false" customHeight="true" outlineLevel="0" collapsed="false">
      <c r="A188" s="11" t="s">
        <v>55</v>
      </c>
      <c r="B188" s="11"/>
      <c r="C188" s="11"/>
      <c r="D188" s="11" t="s">
        <v>501</v>
      </c>
      <c r="E188" s="34" t="s">
        <v>495</v>
      </c>
      <c r="F188" s="11"/>
      <c r="G188" s="11"/>
    </row>
    <row r="189" customFormat="false" ht="15" hidden="false" customHeight="true" outlineLevel="0" collapsed="false">
      <c r="A189" s="13" t="s">
        <v>55</v>
      </c>
      <c r="B189" s="13"/>
      <c r="C189" s="13"/>
      <c r="D189" s="13" t="s">
        <v>502</v>
      </c>
      <c r="E189" s="35" t="s">
        <v>495</v>
      </c>
      <c r="F189" s="13"/>
      <c r="G189" s="13"/>
    </row>
    <row r="190" customFormat="false" ht="15" hidden="false" customHeight="true" outlineLevel="0" collapsed="false">
      <c r="A190" s="11" t="s">
        <v>55</v>
      </c>
      <c r="B190" s="11"/>
      <c r="C190" s="11"/>
      <c r="D190" s="11" t="s">
        <v>503</v>
      </c>
      <c r="E190" s="34" t="s">
        <v>495</v>
      </c>
      <c r="F190" s="11"/>
      <c r="G190" s="11"/>
    </row>
    <row r="191" customFormat="false" ht="15" hidden="false" customHeight="true" outlineLevel="0" collapsed="false">
      <c r="A191" s="13" t="s">
        <v>55</v>
      </c>
      <c r="B191" s="13"/>
      <c r="C191" s="13"/>
      <c r="D191" s="13" t="s">
        <v>504</v>
      </c>
      <c r="E191" s="35" t="s">
        <v>495</v>
      </c>
      <c r="F191" s="13"/>
      <c r="G191" s="13"/>
    </row>
    <row r="192" customFormat="false" ht="15" hidden="false" customHeight="true" outlineLevel="0" collapsed="false">
      <c r="A192" s="11" t="s">
        <v>55</v>
      </c>
      <c r="B192" s="11"/>
      <c r="C192" s="11"/>
      <c r="D192" s="11" t="s">
        <v>505</v>
      </c>
      <c r="E192" s="34" t="s">
        <v>495</v>
      </c>
      <c r="F192" s="11"/>
      <c r="G192" s="11"/>
    </row>
    <row r="193" customFormat="false" ht="15" hidden="false" customHeight="true" outlineLevel="0" collapsed="false">
      <c r="A193" s="13" t="s">
        <v>55</v>
      </c>
      <c r="B193" s="13"/>
      <c r="C193" s="13"/>
      <c r="D193" s="13" t="s">
        <v>506</v>
      </c>
      <c r="E193" s="35" t="s">
        <v>495</v>
      </c>
      <c r="F193" s="13"/>
      <c r="G193" s="13" t="s">
        <v>507</v>
      </c>
    </row>
    <row r="194" customFormat="false" ht="15" hidden="false" customHeight="true" outlineLevel="0" collapsed="false">
      <c r="A194" s="12" t="s">
        <v>57</v>
      </c>
      <c r="B194" s="11"/>
      <c r="C194" s="11"/>
      <c r="D194" s="11" t="s">
        <v>508</v>
      </c>
      <c r="E194" s="11" t="s">
        <v>509</v>
      </c>
      <c r="F194" s="11"/>
      <c r="G194" s="11" t="s">
        <v>510</v>
      </c>
    </row>
    <row r="195" customFormat="false" ht="15" hidden="false" customHeight="true" outlineLevel="0" collapsed="false">
      <c r="A195" s="13" t="s">
        <v>57</v>
      </c>
      <c r="B195" s="13"/>
      <c r="C195" s="13"/>
      <c r="D195" s="13" t="s">
        <v>511</v>
      </c>
      <c r="E195" s="13" t="s">
        <v>509</v>
      </c>
      <c r="F195" s="13"/>
      <c r="G195" s="13"/>
    </row>
    <row r="196" customFormat="false" ht="15" hidden="false" customHeight="true" outlineLevel="0" collapsed="false">
      <c r="A196" s="11" t="s">
        <v>57</v>
      </c>
      <c r="B196" s="11"/>
      <c r="C196" s="11"/>
      <c r="D196" s="11" t="s">
        <v>512</v>
      </c>
      <c r="E196" s="11" t="s">
        <v>509</v>
      </c>
      <c r="F196" s="11"/>
      <c r="G196" s="11"/>
    </row>
    <row r="197" customFormat="false" ht="15" hidden="false" customHeight="true" outlineLevel="0" collapsed="false">
      <c r="A197" s="13" t="s">
        <v>57</v>
      </c>
      <c r="B197" s="13"/>
      <c r="C197" s="13"/>
      <c r="D197" s="13" t="s">
        <v>513</v>
      </c>
      <c r="E197" s="13" t="s">
        <v>509</v>
      </c>
      <c r="F197" s="13"/>
      <c r="G197" s="13"/>
    </row>
    <row r="198" customFormat="false" ht="15" hidden="false" customHeight="true" outlineLevel="0" collapsed="false">
      <c r="A198" s="12" t="s">
        <v>59</v>
      </c>
      <c r="B198" s="11"/>
      <c r="C198" s="11"/>
      <c r="D198" s="11" t="s">
        <v>514</v>
      </c>
      <c r="E198" s="11" t="s">
        <v>509</v>
      </c>
      <c r="F198" s="11"/>
      <c r="G198" s="11"/>
    </row>
    <row r="199" customFormat="false" ht="15" hidden="false" customHeight="true" outlineLevel="0" collapsed="false">
      <c r="A199" s="13" t="s">
        <v>59</v>
      </c>
      <c r="B199" s="13"/>
      <c r="C199" s="13"/>
      <c r="D199" s="13" t="s">
        <v>515</v>
      </c>
      <c r="E199" s="13" t="s">
        <v>509</v>
      </c>
      <c r="F199" s="13"/>
      <c r="G199" s="13"/>
    </row>
    <row r="200" customFormat="false" ht="15" hidden="false" customHeight="true" outlineLevel="0" collapsed="false">
      <c r="A200" s="11" t="s">
        <v>59</v>
      </c>
      <c r="B200" s="11"/>
      <c r="C200" s="11"/>
      <c r="D200" s="11" t="s">
        <v>516</v>
      </c>
      <c r="E200" s="11" t="s">
        <v>509</v>
      </c>
      <c r="F200" s="11"/>
      <c r="G200" s="11"/>
    </row>
    <row r="201" customFormat="false" ht="15" hidden="false" customHeight="true" outlineLevel="0" collapsed="false">
      <c r="A201" s="13" t="s">
        <v>59</v>
      </c>
      <c r="B201" s="13"/>
      <c r="C201" s="13"/>
      <c r="D201" s="13" t="s">
        <v>517</v>
      </c>
      <c r="E201" s="13" t="s">
        <v>509</v>
      </c>
      <c r="F201" s="13"/>
      <c r="G201" s="13"/>
    </row>
    <row r="202" customFormat="false" ht="15" hidden="false" customHeight="true" outlineLevel="0" collapsed="false">
      <c r="A202" s="11" t="s">
        <v>59</v>
      </c>
      <c r="B202" s="11"/>
      <c r="C202" s="11"/>
      <c r="D202" s="11" t="s">
        <v>518</v>
      </c>
      <c r="E202" s="11" t="s">
        <v>509</v>
      </c>
      <c r="F202" s="11"/>
      <c r="G202" s="11"/>
    </row>
    <row r="203" customFormat="false" ht="15" hidden="false" customHeight="true" outlineLevel="0" collapsed="false">
      <c r="A203" s="13" t="s">
        <v>59</v>
      </c>
      <c r="B203" s="13"/>
      <c r="C203" s="13"/>
      <c r="D203" s="13" t="s">
        <v>519</v>
      </c>
      <c r="E203" s="13" t="s">
        <v>509</v>
      </c>
      <c r="F203" s="13"/>
      <c r="G203" s="13"/>
    </row>
    <row r="204" customFormat="false" ht="15" hidden="false" customHeight="true" outlineLevel="0" collapsed="false">
      <c r="A204" s="11" t="s">
        <v>59</v>
      </c>
      <c r="B204" s="11"/>
      <c r="C204" s="11"/>
      <c r="D204" s="11" t="s">
        <v>520</v>
      </c>
      <c r="E204" s="11" t="s">
        <v>509</v>
      </c>
      <c r="F204" s="11"/>
      <c r="G204" s="11"/>
    </row>
    <row r="205" customFormat="false" ht="15" hidden="false" customHeight="true" outlineLevel="0" collapsed="false">
      <c r="A205" s="13" t="s">
        <v>59</v>
      </c>
      <c r="B205" s="13"/>
      <c r="C205" s="13"/>
      <c r="D205" s="13" t="s">
        <v>521</v>
      </c>
      <c r="E205" s="13" t="s">
        <v>509</v>
      </c>
      <c r="F205" s="13"/>
      <c r="G205" s="13"/>
    </row>
    <row r="206" customFormat="false" ht="15" hidden="false" customHeight="true" outlineLevel="0" collapsed="false">
      <c r="A206" s="12" t="s">
        <v>61</v>
      </c>
      <c r="B206" s="11"/>
      <c r="C206" s="11"/>
      <c r="D206" s="11" t="s">
        <v>522</v>
      </c>
      <c r="E206" s="11" t="s">
        <v>509</v>
      </c>
      <c r="F206" s="11"/>
      <c r="G206" s="11"/>
    </row>
    <row r="207" customFormat="false" ht="15" hidden="false" customHeight="true" outlineLevel="0" collapsed="false">
      <c r="A207" s="13" t="s">
        <v>61</v>
      </c>
      <c r="B207" s="13"/>
      <c r="C207" s="13"/>
      <c r="D207" s="13" t="s">
        <v>523</v>
      </c>
      <c r="E207" s="13" t="s">
        <v>509</v>
      </c>
      <c r="F207" s="13"/>
      <c r="G207" s="13"/>
    </row>
    <row r="208" customFormat="false" ht="15" hidden="false" customHeight="true" outlineLevel="0" collapsed="false">
      <c r="A208" s="11" t="s">
        <v>61</v>
      </c>
      <c r="B208" s="11"/>
      <c r="C208" s="11"/>
      <c r="D208" s="11" t="s">
        <v>524</v>
      </c>
      <c r="E208" s="11" t="s">
        <v>509</v>
      </c>
      <c r="F208" s="11"/>
      <c r="G208" s="11"/>
    </row>
    <row r="209" customFormat="false" ht="15" hidden="false" customHeight="true" outlineLevel="0" collapsed="false">
      <c r="A209" s="13" t="s">
        <v>61</v>
      </c>
      <c r="B209" s="13"/>
      <c r="C209" s="13"/>
      <c r="D209" s="13" t="s">
        <v>525</v>
      </c>
      <c r="E209" s="13" t="s">
        <v>509</v>
      </c>
      <c r="F209" s="13"/>
      <c r="G209" s="13"/>
    </row>
    <row r="210" customFormat="false" ht="15" hidden="false" customHeight="true" outlineLevel="0" collapsed="false">
      <c r="A210" s="11" t="s">
        <v>61</v>
      </c>
      <c r="B210" s="11"/>
      <c r="C210" s="11"/>
      <c r="D210" s="11" t="s">
        <v>526</v>
      </c>
      <c r="E210" s="11" t="s">
        <v>509</v>
      </c>
      <c r="F210" s="11"/>
      <c r="G210" s="11"/>
    </row>
    <row r="211" customFormat="false" ht="15" hidden="false" customHeight="true" outlineLevel="0" collapsed="false">
      <c r="A211" s="13" t="s">
        <v>61</v>
      </c>
      <c r="B211" s="13"/>
      <c r="C211" s="13"/>
      <c r="D211" s="13" t="s">
        <v>527</v>
      </c>
      <c r="E211" s="13" t="s">
        <v>509</v>
      </c>
      <c r="F211" s="13"/>
      <c r="G211" s="13"/>
    </row>
    <row r="212" customFormat="false" ht="15" hidden="false" customHeight="true" outlineLevel="0" collapsed="false">
      <c r="A212" s="11" t="s">
        <v>61</v>
      </c>
      <c r="B212" s="11"/>
      <c r="C212" s="11"/>
      <c r="D212" s="11" t="s">
        <v>528</v>
      </c>
      <c r="E212" s="11" t="s">
        <v>509</v>
      </c>
      <c r="F212" s="11"/>
      <c r="G212" s="11"/>
    </row>
    <row r="213" customFormat="false" ht="15" hidden="false" customHeight="true" outlineLevel="0" collapsed="false">
      <c r="A213" s="13" t="s">
        <v>61</v>
      </c>
      <c r="B213" s="13"/>
      <c r="C213" s="13"/>
      <c r="D213" s="13" t="s">
        <v>529</v>
      </c>
      <c r="E213" s="13" t="s">
        <v>509</v>
      </c>
      <c r="F213" s="13"/>
      <c r="G213" s="13"/>
    </row>
    <row r="214" customFormat="false" ht="15" hidden="false" customHeight="true" outlineLevel="0" collapsed="false">
      <c r="A214" s="11" t="s">
        <v>61</v>
      </c>
      <c r="B214" s="11"/>
      <c r="C214" s="11"/>
      <c r="D214" s="11" t="s">
        <v>530</v>
      </c>
      <c r="E214" s="11" t="s">
        <v>509</v>
      </c>
      <c r="F214" s="11"/>
      <c r="G214" s="11"/>
    </row>
    <row r="215" customFormat="false" ht="15" hidden="false" customHeight="true" outlineLevel="0" collapsed="false">
      <c r="A215" s="13" t="s">
        <v>61</v>
      </c>
      <c r="B215" s="13"/>
      <c r="C215" s="13"/>
      <c r="D215" s="13" t="s">
        <v>531</v>
      </c>
      <c r="E215" s="13" t="s">
        <v>509</v>
      </c>
      <c r="F215" s="13"/>
      <c r="G215" s="13"/>
    </row>
    <row r="216" customFormat="false" ht="15" hidden="false" customHeight="true" outlineLevel="0" collapsed="false">
      <c r="A216" s="11" t="s">
        <v>61</v>
      </c>
      <c r="B216" s="11"/>
      <c r="C216" s="11"/>
      <c r="D216" s="11" t="s">
        <v>532</v>
      </c>
      <c r="E216" s="11" t="s">
        <v>509</v>
      </c>
      <c r="F216" s="11"/>
      <c r="G216" s="11"/>
    </row>
    <row r="217" customFormat="false" ht="15" hidden="false" customHeight="true" outlineLevel="0" collapsed="false">
      <c r="A217" s="13" t="s">
        <v>61</v>
      </c>
      <c r="B217" s="13"/>
      <c r="C217" s="13"/>
      <c r="D217" s="13" t="s">
        <v>533</v>
      </c>
      <c r="E217" s="13" t="s">
        <v>509</v>
      </c>
      <c r="F217" s="13"/>
      <c r="G217" s="13"/>
    </row>
    <row r="219" customFormat="false" ht="15" hidden="false" customHeight="true" outlineLevel="0" collapsed="false">
      <c r="C219" s="36" t="s">
        <v>534</v>
      </c>
      <c r="D219" s="36" t="n">
        <f aca="false">COUNTA(D2:D217)</f>
        <v>216</v>
      </c>
    </row>
  </sheetData>
  <autoFilter ref="A1:G2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78"/>
    <col collapsed="false" customWidth="true" hidden="false" outlineLevel="0" max="3" min="3" style="1" width="22"/>
  </cols>
  <sheetData>
    <row r="1" customFormat="false" ht="27.75" hidden="false" customHeight="true" outlineLevel="0" collapsed="false">
      <c r="A1" s="10" t="s">
        <v>535</v>
      </c>
      <c r="B1" s="10" t="s">
        <v>536</v>
      </c>
      <c r="C1" s="10" t="s">
        <v>537</v>
      </c>
    </row>
    <row r="2" customFormat="false" ht="15" hidden="false" customHeight="true" outlineLevel="0" collapsed="false">
      <c r="A2" s="37" t="s">
        <v>538</v>
      </c>
      <c r="B2" s="11" t="s">
        <v>539</v>
      </c>
      <c r="C2" s="11" t="s">
        <v>540</v>
      </c>
    </row>
    <row r="3" customFormat="false" ht="15" hidden="false" customHeight="true" outlineLevel="0" collapsed="false">
      <c r="A3" s="38" t="s">
        <v>266</v>
      </c>
      <c r="B3" s="13" t="s">
        <v>541</v>
      </c>
      <c r="C3" s="13" t="s">
        <v>540</v>
      </c>
    </row>
    <row r="4" customFormat="false" ht="15" hidden="false" customHeight="true" outlineLevel="0" collapsed="false">
      <c r="A4" s="37" t="s">
        <v>296</v>
      </c>
      <c r="B4" s="11" t="s">
        <v>542</v>
      </c>
      <c r="C4" s="11" t="s">
        <v>540</v>
      </c>
    </row>
    <row r="5" customFormat="false" ht="15" hidden="false" customHeight="true" outlineLevel="0" collapsed="false">
      <c r="A5" s="38" t="s">
        <v>305</v>
      </c>
      <c r="B5" s="13" t="s">
        <v>543</v>
      </c>
      <c r="C5" s="13" t="s">
        <v>540</v>
      </c>
    </row>
    <row r="6" customFormat="false" ht="15" hidden="false" customHeight="true" outlineLevel="0" collapsed="false">
      <c r="A6" s="37" t="s">
        <v>331</v>
      </c>
      <c r="B6" s="11" t="s">
        <v>544</v>
      </c>
      <c r="C6" s="11" t="s">
        <v>540</v>
      </c>
    </row>
    <row r="7" customFormat="false" ht="15" hidden="false" customHeight="true" outlineLevel="0" collapsed="false">
      <c r="A7" s="38" t="s">
        <v>347</v>
      </c>
      <c r="B7" s="13" t="s">
        <v>545</v>
      </c>
      <c r="C7" s="13" t="s">
        <v>540</v>
      </c>
    </row>
    <row r="8" customFormat="false" ht="15" hidden="false" customHeight="true" outlineLevel="0" collapsed="false">
      <c r="A8" s="37" t="s">
        <v>394</v>
      </c>
      <c r="B8" s="11" t="s">
        <v>546</v>
      </c>
      <c r="C8" s="11" t="s">
        <v>540</v>
      </c>
    </row>
    <row r="9" customFormat="false" ht="15" hidden="false" customHeight="true" outlineLevel="0" collapsed="false">
      <c r="A9" s="38" t="s">
        <v>467</v>
      </c>
      <c r="B9" s="13" t="s">
        <v>547</v>
      </c>
      <c r="C9" s="13" t="s">
        <v>540</v>
      </c>
    </row>
    <row r="10" customFormat="false" ht="15" hidden="false" customHeight="true" outlineLevel="0" collapsed="false">
      <c r="A10" s="37" t="s">
        <v>439</v>
      </c>
      <c r="B10" s="11" t="s">
        <v>548</v>
      </c>
      <c r="C10" s="11" t="s">
        <v>540</v>
      </c>
    </row>
    <row r="11" customFormat="false" ht="15" hidden="false" customHeight="true" outlineLevel="0" collapsed="false">
      <c r="A11" s="38" t="s">
        <v>433</v>
      </c>
      <c r="B11" s="13" t="s">
        <v>549</v>
      </c>
      <c r="C11" s="13" t="s">
        <v>540</v>
      </c>
    </row>
    <row r="12" customFormat="false" ht="15" hidden="false" customHeight="true" outlineLevel="0" collapsed="false">
      <c r="A12" s="37" t="s">
        <v>443</v>
      </c>
      <c r="B12" s="11" t="s">
        <v>550</v>
      </c>
      <c r="C12" s="11" t="s">
        <v>540</v>
      </c>
    </row>
    <row r="13" customFormat="false" ht="15" hidden="false" customHeight="true" outlineLevel="0" collapsed="false">
      <c r="A13" s="38" t="s">
        <v>485</v>
      </c>
      <c r="B13" s="13" t="s">
        <v>551</v>
      </c>
      <c r="C13" s="13" t="s">
        <v>540</v>
      </c>
    </row>
    <row r="14" customFormat="false" ht="15" hidden="false" customHeight="true" outlineLevel="0" collapsed="false">
      <c r="A14" s="37" t="s">
        <v>495</v>
      </c>
      <c r="B14" s="11" t="s">
        <v>552</v>
      </c>
      <c r="C14" s="11" t="s">
        <v>540</v>
      </c>
    </row>
    <row r="15" customFormat="false" ht="15" hidden="false" customHeight="true" outlineLevel="0" collapsed="false">
      <c r="A15" s="38" t="s">
        <v>553</v>
      </c>
      <c r="B15" s="13" t="s">
        <v>554</v>
      </c>
      <c r="C15" s="13" t="s">
        <v>540</v>
      </c>
    </row>
    <row r="16" customFormat="false" ht="15" hidden="false" customHeight="true" outlineLevel="0" collapsed="false">
      <c r="A16" s="37" t="s">
        <v>555</v>
      </c>
      <c r="B16" s="11" t="s">
        <v>556</v>
      </c>
      <c r="C16" s="11" t="s">
        <v>540</v>
      </c>
    </row>
    <row r="17" customFormat="false" ht="15" hidden="false" customHeight="true" outlineLevel="0" collapsed="false">
      <c r="A17" s="38" t="s">
        <v>557</v>
      </c>
      <c r="B17" s="13" t="s">
        <v>558</v>
      </c>
      <c r="C17" s="13" t="s">
        <v>559</v>
      </c>
    </row>
    <row r="18" customFormat="false" ht="15" hidden="false" customHeight="true" outlineLevel="0" collapsed="false">
      <c r="A18" s="37" t="s">
        <v>560</v>
      </c>
      <c r="B18" s="11" t="s">
        <v>561</v>
      </c>
      <c r="C18" s="11" t="s">
        <v>559</v>
      </c>
    </row>
    <row r="19" customFormat="false" ht="15" hidden="false" customHeight="true" outlineLevel="0" collapsed="false">
      <c r="A19" s="38" t="s">
        <v>562</v>
      </c>
      <c r="B19" s="13" t="s">
        <v>563</v>
      </c>
      <c r="C19" s="13" t="s">
        <v>559</v>
      </c>
    </row>
    <row r="20" customFormat="false" ht="15" hidden="false" customHeight="true" outlineLevel="0" collapsed="false">
      <c r="A20" s="37" t="s">
        <v>564</v>
      </c>
      <c r="B20" s="11" t="s">
        <v>565</v>
      </c>
      <c r="C20" s="11" t="s">
        <v>559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92"/>
  </cols>
  <sheetData>
    <row r="1" customFormat="false" ht="27.75" hidden="false" customHeight="true" outlineLevel="0" collapsed="false">
      <c r="A1" s="10" t="s">
        <v>566</v>
      </c>
      <c r="B1" s="10" t="s">
        <v>567</v>
      </c>
    </row>
    <row r="2" customFormat="false" ht="23.25" hidden="false" customHeight="true" outlineLevel="0" collapsed="false">
      <c r="A2" s="12" t="s">
        <v>568</v>
      </c>
      <c r="B2" s="11" t="s">
        <v>569</v>
      </c>
    </row>
    <row r="3" customFormat="false" ht="23.25" hidden="false" customHeight="true" outlineLevel="0" collapsed="false">
      <c r="A3" s="14" t="s">
        <v>570</v>
      </c>
      <c r="B3" s="13" t="s">
        <v>571</v>
      </c>
    </row>
    <row r="4" customFormat="false" ht="23.25" hidden="false" customHeight="true" outlineLevel="0" collapsed="false">
      <c r="A4" s="12" t="s">
        <v>572</v>
      </c>
      <c r="B4" s="11" t="s">
        <v>573</v>
      </c>
    </row>
    <row r="5" customFormat="false" ht="15" hidden="false" customHeight="true" outlineLevel="0" collapsed="false">
      <c r="A5" s="14" t="s">
        <v>574</v>
      </c>
      <c r="B5" s="13" t="s">
        <v>575</v>
      </c>
    </row>
    <row r="6" customFormat="false" ht="23.25" hidden="false" customHeight="true" outlineLevel="0" collapsed="false">
      <c r="A6" s="12" t="s">
        <v>576</v>
      </c>
      <c r="B6" s="11" t="s">
        <v>577</v>
      </c>
    </row>
    <row r="7" customFormat="false" ht="15" hidden="false" customHeight="true" outlineLevel="0" collapsed="false">
      <c r="A7" s="14" t="s">
        <v>578</v>
      </c>
      <c r="B7" s="13" t="s">
        <v>579</v>
      </c>
    </row>
    <row r="8" customFormat="false" ht="23.25" hidden="false" customHeight="true" outlineLevel="0" collapsed="false">
      <c r="A8" s="12" t="s">
        <v>580</v>
      </c>
      <c r="B8" s="11" t="s">
        <v>581</v>
      </c>
    </row>
    <row r="9" customFormat="false" ht="23.25" hidden="false" customHeight="true" outlineLevel="0" collapsed="false">
      <c r="A9" s="14" t="s">
        <v>582</v>
      </c>
      <c r="B9" s="13" t="s">
        <v>583</v>
      </c>
    </row>
    <row r="10" customFormat="false" ht="23.25" hidden="false" customHeight="true" outlineLevel="0" collapsed="false">
      <c r="A10" s="12" t="s">
        <v>584</v>
      </c>
      <c r="B10" s="11" t="s">
        <v>585</v>
      </c>
    </row>
    <row r="11" customFormat="false" ht="15" hidden="false" customHeight="true" outlineLevel="0" collapsed="false">
      <c r="A11" s="14" t="s">
        <v>586</v>
      </c>
      <c r="B11" s="13" t="s">
        <v>587</v>
      </c>
    </row>
    <row r="12" customFormat="false" ht="23.25" hidden="false" customHeight="true" outlineLevel="0" collapsed="false">
      <c r="A12" s="12" t="s">
        <v>588</v>
      </c>
      <c r="B12" s="11" t="s">
        <v>589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FD94561D8E704EA26006BAE50300BF" ma:contentTypeVersion="10" ma:contentTypeDescription="Create a new document." ma:contentTypeScope="" ma:versionID="b67fcf9923e9645100cfae13b15b1c50">
  <xsd:schema xmlns:xsd="http://www.w3.org/2001/XMLSchema" xmlns:xs="http://www.w3.org/2001/XMLSchema" xmlns:p="http://schemas.microsoft.com/office/2006/metadata/properties" xmlns:ns2="5c8639fc-876f-4c05-a628-6ace0fa763f8" xmlns:ns3="3bebe18a-fe37-45fe-bf13-76c12fbe5d10" targetNamespace="http://schemas.microsoft.com/office/2006/metadata/properties" ma:root="true" ma:fieldsID="2b56d4feec7e0d70dc4483e80f12a880" ns2:_="" ns3:_="">
    <xsd:import namespace="5c8639fc-876f-4c05-a628-6ace0fa763f8"/>
    <xsd:import namespace="3bebe18a-fe37-45fe-bf13-76c12fbe5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8639fc-876f-4c05-a628-6ace0fa763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a68f853-f819-496e-a36f-5c08fcee44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be18a-fe37-45fe-bf13-76c12fbe5d1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e81a823-4b10-46d2-a02b-408478137769}" ma:internalName="TaxCatchAll" ma:showField="CatchAllData" ma:web="3bebe18a-fe37-45fe-bf13-76c12fbe5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8639fc-876f-4c05-a628-6ace0fa763f8">
      <Terms xmlns="http://schemas.microsoft.com/office/infopath/2007/PartnerControls"/>
    </lcf76f155ced4ddcb4097134ff3c332f>
    <TaxCatchAll xmlns="3bebe18a-fe37-45fe-bf13-76c12fbe5d10" xsi:nil="true"/>
  </documentManagement>
</p:properties>
</file>

<file path=customXml/itemProps1.xml><?xml version="1.0" encoding="utf-8"?>
<ds:datastoreItem xmlns:ds="http://schemas.openxmlformats.org/officeDocument/2006/customXml" ds:itemID="{090D2839-FB24-4819-936F-98DB6992FC5E}"/>
</file>

<file path=customXml/itemProps2.xml><?xml version="1.0" encoding="utf-8"?>
<ds:datastoreItem xmlns:ds="http://schemas.openxmlformats.org/officeDocument/2006/customXml" ds:itemID="{3F32D519-B650-454B-95B7-C0A50524B3F3}"/>
</file>

<file path=customXml/itemProps3.xml><?xml version="1.0" encoding="utf-8"?>
<ds:datastoreItem xmlns:ds="http://schemas.openxmlformats.org/officeDocument/2006/customXml" ds:itemID="{B73E4161-2A51-4733-9474-705F767A06B3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2026-05-19T02:43:09Z</dcterms:created>
  <dcterms:modified xsi:type="dcterms:W3CDTF">2026-05-19T02:51:32Z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0x01010044FD94561D8E704EA26006BAE50300BF</vt:lpwstr>
  </property>
</Properties>
</file>